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O Capital\Desktop\AGROINVERSIONES RB\4. OPERACIÓN\CEBA El Sendero - Santa Bárbara\"/>
    </mc:Choice>
  </mc:AlternateContent>
  <xr:revisionPtr revIDLastSave="0" documentId="13_ncr:1_{79269218-178C-4EB6-8692-7309D13B5877}" xr6:coauthVersionLast="47" xr6:coauthVersionMax="47" xr10:uidLastSave="{00000000-0000-0000-0000-000000000000}"/>
  <bookViews>
    <workbookView xWindow="-108" yWindow="-108" windowWidth="23256" windowHeight="12456" xr2:uid="{2B441AC0-CD87-42A3-A38D-431DDB4C3AFB}"/>
  </bookViews>
  <sheets>
    <sheet name="Lote 1" sheetId="1" r:id="rId1"/>
    <sheet name="Lote 2" sheetId="4" r:id="rId2"/>
    <sheet name="Lote 3" sheetId="5" r:id="rId3"/>
  </sheets>
  <definedNames>
    <definedName name="_xlnm.Print_Area" localSheetId="0">'Lote 1'!$A$1:$AH$50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5" l="1"/>
  <c r="E46" i="5"/>
  <c r="E45" i="5"/>
  <c r="E44" i="5"/>
  <c r="E43" i="5"/>
  <c r="E42" i="5"/>
  <c r="E41" i="5"/>
  <c r="E40" i="5"/>
  <c r="E39" i="5"/>
  <c r="E38" i="5"/>
  <c r="E37" i="5"/>
  <c r="E36" i="5"/>
  <c r="E35" i="5"/>
  <c r="F37" i="5"/>
  <c r="D35" i="5"/>
  <c r="G49" i="5"/>
  <c r="X12" i="5" s="1"/>
  <c r="I49" i="5"/>
  <c r="X14" i="5" s="1"/>
  <c r="H49" i="5"/>
  <c r="X13" i="5" s="1"/>
  <c r="AE13" i="5" s="1"/>
  <c r="C37" i="5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36" i="5"/>
  <c r="F49" i="5"/>
  <c r="X11" i="5" s="1"/>
  <c r="D49" i="5"/>
  <c r="X9" i="5" s="1"/>
  <c r="I28" i="5"/>
  <c r="H28" i="5"/>
  <c r="G28" i="5"/>
  <c r="D28" i="5"/>
  <c r="Q20" i="5" s="1"/>
  <c r="Q21" i="5" s="1"/>
  <c r="N20" i="5"/>
  <c r="Q30" i="5" s="1"/>
  <c r="Q31" i="5" s="1"/>
  <c r="F19" i="5"/>
  <c r="E18" i="5"/>
  <c r="F18" i="5" s="1"/>
  <c r="F17" i="5"/>
  <c r="E17" i="5"/>
  <c r="F16" i="5"/>
  <c r="E16" i="5"/>
  <c r="C16" i="5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E15" i="5"/>
  <c r="F15" i="5" s="1"/>
  <c r="C15" i="5"/>
  <c r="O14" i="5"/>
  <c r="Q29" i="5" s="1"/>
  <c r="E14" i="5"/>
  <c r="F14" i="5" s="1"/>
  <c r="B14" i="5"/>
  <c r="B15" i="5" s="1"/>
  <c r="R12" i="5"/>
  <c r="R11" i="5"/>
  <c r="R10" i="5"/>
  <c r="P9" i="5"/>
  <c r="R9" i="5" s="1"/>
  <c r="P8" i="5"/>
  <c r="R8" i="5" s="1"/>
  <c r="P7" i="5"/>
  <c r="R7" i="5" s="1"/>
  <c r="R14" i="5" s="1"/>
  <c r="F7" i="5"/>
  <c r="N21" i="5" s="1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F41" i="4"/>
  <c r="I37" i="4"/>
  <c r="I49" i="4" s="1"/>
  <c r="X14" i="4" s="1"/>
  <c r="G37" i="4"/>
  <c r="F35" i="4"/>
  <c r="F49" i="4" s="1"/>
  <c r="X11" i="4" s="1"/>
  <c r="D35" i="4"/>
  <c r="D49" i="4" s="1"/>
  <c r="X9" i="4" s="1"/>
  <c r="B14" i="4"/>
  <c r="H49" i="4"/>
  <c r="X13" i="4" s="1"/>
  <c r="G49" i="4"/>
  <c r="X12" i="4" s="1"/>
  <c r="C36" i="4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G28" i="4"/>
  <c r="E28" i="4"/>
  <c r="D28" i="4"/>
  <c r="N20" i="4"/>
  <c r="F19" i="4"/>
  <c r="E18" i="4"/>
  <c r="F18" i="4" s="1"/>
  <c r="F17" i="4"/>
  <c r="E17" i="4"/>
  <c r="E16" i="4"/>
  <c r="F16" i="4" s="1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E15" i="4"/>
  <c r="F15" i="4" s="1"/>
  <c r="C15" i="4"/>
  <c r="O14" i="4"/>
  <c r="F14" i="4"/>
  <c r="E14" i="4"/>
  <c r="B35" i="4"/>
  <c r="R12" i="4"/>
  <c r="R11" i="4"/>
  <c r="R10" i="4"/>
  <c r="P9" i="4"/>
  <c r="R9" i="4" s="1"/>
  <c r="P8" i="4"/>
  <c r="R8" i="4" s="1"/>
  <c r="P7" i="4"/>
  <c r="R7" i="4" s="1"/>
  <c r="F7" i="4"/>
  <c r="H7" i="4" s="1"/>
  <c r="I7" i="4" s="1"/>
  <c r="X7" i="4" s="1"/>
  <c r="AF16" i="1"/>
  <c r="AC16" i="1"/>
  <c r="AF14" i="1"/>
  <c r="AF13" i="1"/>
  <c r="AF12" i="1"/>
  <c r="AF11" i="1"/>
  <c r="AF10" i="1"/>
  <c r="AF9" i="1"/>
  <c r="AF8" i="1"/>
  <c r="AC14" i="1"/>
  <c r="AC13" i="1"/>
  <c r="AC12" i="1"/>
  <c r="AC11" i="1"/>
  <c r="AC10" i="1"/>
  <c r="AC9" i="1"/>
  <c r="AC8" i="1"/>
  <c r="AF7" i="1"/>
  <c r="AC7" i="1"/>
  <c r="P9" i="1"/>
  <c r="R9" i="1" s="1"/>
  <c r="P8" i="1"/>
  <c r="R8" i="1" s="1"/>
  <c r="P7" i="1"/>
  <c r="N20" i="1"/>
  <c r="R12" i="1"/>
  <c r="R11" i="1"/>
  <c r="R10" i="1"/>
  <c r="O14" i="1"/>
  <c r="N25" i="1" s="1"/>
  <c r="Q30" i="1" s="1"/>
  <c r="Q31" i="1" s="1"/>
  <c r="F28" i="5" l="1"/>
  <c r="X8" i="5" s="1"/>
  <c r="Y8" i="5" s="1"/>
  <c r="E49" i="5"/>
  <c r="X10" i="5" s="1"/>
  <c r="AE10" i="5" s="1"/>
  <c r="Q14" i="5"/>
  <c r="X22" i="5"/>
  <c r="AE9" i="5"/>
  <c r="AB9" i="5"/>
  <c r="Y9" i="5"/>
  <c r="B36" i="5"/>
  <c r="B16" i="5"/>
  <c r="AB14" i="5"/>
  <c r="Y14" i="5"/>
  <c r="AE14" i="5"/>
  <c r="N22" i="5"/>
  <c r="AE11" i="5"/>
  <c r="AB11" i="5"/>
  <c r="Y11" i="5"/>
  <c r="AE12" i="5"/>
  <c r="AB12" i="5"/>
  <c r="Y12" i="5"/>
  <c r="E28" i="5"/>
  <c r="AB13" i="5"/>
  <c r="P14" i="5"/>
  <c r="Y13" i="5"/>
  <c r="B35" i="5"/>
  <c r="H7" i="5"/>
  <c r="I7" i="5" s="1"/>
  <c r="X7" i="5" s="1"/>
  <c r="R14" i="4"/>
  <c r="Q14" i="4" s="1"/>
  <c r="AE13" i="4"/>
  <c r="AB13" i="4"/>
  <c r="Y13" i="4"/>
  <c r="I28" i="4"/>
  <c r="Q20" i="4"/>
  <c r="Q21" i="4" s="1"/>
  <c r="E49" i="4"/>
  <c r="X10" i="4" s="1"/>
  <c r="AE10" i="4" s="1"/>
  <c r="Q30" i="4"/>
  <c r="Q31" i="4" s="1"/>
  <c r="N21" i="4"/>
  <c r="N22" i="4" s="1"/>
  <c r="AE9" i="4"/>
  <c r="AB9" i="4"/>
  <c r="Y9" i="4"/>
  <c r="AB7" i="4"/>
  <c r="Y7" i="4"/>
  <c r="AE12" i="4"/>
  <c r="Y12" i="4"/>
  <c r="AB12" i="4"/>
  <c r="AE11" i="4"/>
  <c r="AB11" i="4"/>
  <c r="Y11" i="4"/>
  <c r="F28" i="4"/>
  <c r="Y14" i="4"/>
  <c r="AE14" i="4"/>
  <c r="AB14" i="4"/>
  <c r="H28" i="4"/>
  <c r="P14" i="4"/>
  <c r="B15" i="4"/>
  <c r="Q29" i="4"/>
  <c r="P14" i="1"/>
  <c r="N27" i="1" s="1"/>
  <c r="R7" i="1"/>
  <c r="Q29" i="1"/>
  <c r="AE8" i="5" l="1"/>
  <c r="Y10" i="5"/>
  <c r="AB10" i="5"/>
  <c r="X16" i="5"/>
  <c r="AC11" i="5" s="1"/>
  <c r="AB7" i="5"/>
  <c r="Y7" i="5"/>
  <c r="B17" i="5"/>
  <c r="B37" i="5"/>
  <c r="AE16" i="5"/>
  <c r="N27" i="5"/>
  <c r="Q24" i="5" s="1"/>
  <c r="Q25" i="5" s="1"/>
  <c r="N26" i="5"/>
  <c r="Z8" i="5" s="1"/>
  <c r="Y22" i="5"/>
  <c r="R14" i="1"/>
  <c r="X22" i="1" s="1"/>
  <c r="X22" i="4"/>
  <c r="Y22" i="4" s="1"/>
  <c r="X8" i="4"/>
  <c r="X16" i="4" s="1"/>
  <c r="AB10" i="4"/>
  <c r="Y10" i="4"/>
  <c r="B16" i="4"/>
  <c r="B36" i="4"/>
  <c r="N27" i="4"/>
  <c r="Q24" i="4" s="1"/>
  <c r="Q25" i="4" s="1"/>
  <c r="Q26" i="4" s="1"/>
  <c r="N26" i="4"/>
  <c r="Z13" i="4" s="1"/>
  <c r="N26" i="1"/>
  <c r="Z14" i="5" l="1"/>
  <c r="Z10" i="5"/>
  <c r="AC10" i="5"/>
  <c r="AF14" i="5"/>
  <c r="AF9" i="5"/>
  <c r="AF12" i="5"/>
  <c r="AF8" i="5"/>
  <c r="AC9" i="5"/>
  <c r="AC13" i="5"/>
  <c r="AF11" i="5"/>
  <c r="B38" i="5"/>
  <c r="B18" i="5"/>
  <c r="Z11" i="5"/>
  <c r="Y16" i="5"/>
  <c r="Y23" i="5" s="1"/>
  <c r="Z7" i="5"/>
  <c r="Z16" i="5" s="1"/>
  <c r="Z12" i="5"/>
  <c r="Z13" i="5"/>
  <c r="Z22" i="5"/>
  <c r="Q26" i="5"/>
  <c r="Q27" i="5"/>
  <c r="Z9" i="5"/>
  <c r="X23" i="5"/>
  <c r="AC7" i="5"/>
  <c r="AB16" i="5"/>
  <c r="AF7" i="5"/>
  <c r="AC8" i="5"/>
  <c r="AF13" i="5"/>
  <c r="AF10" i="5"/>
  <c r="AC12" i="5"/>
  <c r="AC14" i="5"/>
  <c r="Y22" i="1"/>
  <c r="X23" i="1"/>
  <c r="Q14" i="1"/>
  <c r="Z11" i="4"/>
  <c r="Z9" i="4"/>
  <c r="Z10" i="4"/>
  <c r="Q27" i="4"/>
  <c r="Z7" i="4"/>
  <c r="AF10" i="4"/>
  <c r="AC12" i="4"/>
  <c r="X23" i="4"/>
  <c r="Y8" i="4"/>
  <c r="Z8" i="4" s="1"/>
  <c r="AC10" i="4"/>
  <c r="AE8" i="4"/>
  <c r="AE16" i="4" s="1"/>
  <c r="AB16" i="4"/>
  <c r="AF11" i="4"/>
  <c r="AF7" i="4"/>
  <c r="AC14" i="4"/>
  <c r="AC11" i="4"/>
  <c r="AC13" i="4"/>
  <c r="AF13" i="4"/>
  <c r="AF12" i="4"/>
  <c r="AC9" i="4"/>
  <c r="AC8" i="4"/>
  <c r="AC7" i="4"/>
  <c r="AF14" i="4"/>
  <c r="AF9" i="4"/>
  <c r="Y16" i="4"/>
  <c r="Y23" i="4" s="1"/>
  <c r="Z14" i="4"/>
  <c r="AF8" i="4"/>
  <c r="B37" i="4"/>
  <c r="B17" i="4"/>
  <c r="Z12" i="4"/>
  <c r="Z22" i="4"/>
  <c r="B14" i="1"/>
  <c r="F7" i="1"/>
  <c r="G28" i="1"/>
  <c r="I41" i="1"/>
  <c r="G41" i="1"/>
  <c r="AF16" i="5" l="1"/>
  <c r="AE22" i="5" s="1"/>
  <c r="Z23" i="5"/>
  <c r="AC16" i="5"/>
  <c r="AB22" i="5" s="1"/>
  <c r="B19" i="5"/>
  <c r="B39" i="5"/>
  <c r="Z22" i="1"/>
  <c r="AE22" i="1"/>
  <c r="AB22" i="1"/>
  <c r="Z16" i="4"/>
  <c r="Z23" i="4" s="1"/>
  <c r="AC16" i="4"/>
  <c r="AB22" i="4" s="1"/>
  <c r="AF16" i="4"/>
  <c r="AE22" i="4" s="1"/>
  <c r="B18" i="4"/>
  <c r="B38" i="4"/>
  <c r="H7" i="1"/>
  <c r="I7" i="1" s="1"/>
  <c r="X7" i="1" s="1"/>
  <c r="N21" i="1"/>
  <c r="N22" i="1" s="1"/>
  <c r="Q24" i="1" s="1"/>
  <c r="Q25" i="1" s="1"/>
  <c r="Q26" i="1" s="1"/>
  <c r="I49" i="1"/>
  <c r="X14" i="1" s="1"/>
  <c r="H49" i="1"/>
  <c r="X13" i="1" s="1"/>
  <c r="G49" i="1"/>
  <c r="X12" i="1" s="1"/>
  <c r="F45" i="1"/>
  <c r="F41" i="1"/>
  <c r="B35" i="1"/>
  <c r="H22" i="1"/>
  <c r="I22" i="1" s="1"/>
  <c r="E39" i="1"/>
  <c r="E40" i="1"/>
  <c r="E41" i="1"/>
  <c r="E42" i="1"/>
  <c r="E43" i="1"/>
  <c r="E44" i="1"/>
  <c r="E45" i="1"/>
  <c r="E46" i="1"/>
  <c r="E47" i="1"/>
  <c r="B20" i="5" l="1"/>
  <c r="B40" i="5"/>
  <c r="B39" i="4"/>
  <c r="B19" i="4"/>
  <c r="Y12" i="1"/>
  <c r="Z12" i="1" s="1"/>
  <c r="AE12" i="1"/>
  <c r="AB12" i="1"/>
  <c r="Y13" i="1"/>
  <c r="Z13" i="1" s="1"/>
  <c r="AE13" i="1"/>
  <c r="AB13" i="1"/>
  <c r="Y14" i="1"/>
  <c r="Z14" i="1" s="1"/>
  <c r="AE14" i="1"/>
  <c r="AB14" i="1"/>
  <c r="Y7" i="1"/>
  <c r="AB7" i="1"/>
  <c r="F49" i="1"/>
  <c r="X11" i="1" s="1"/>
  <c r="E38" i="1"/>
  <c r="E37" i="1"/>
  <c r="E36" i="1"/>
  <c r="E35" i="1"/>
  <c r="D35" i="1"/>
  <c r="D49" i="1" s="1"/>
  <c r="X9" i="1" s="1"/>
  <c r="C36" i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H21" i="1"/>
  <c r="I21" i="1" s="1"/>
  <c r="H20" i="1"/>
  <c r="D28" i="1"/>
  <c r="Q20" i="1" s="1"/>
  <c r="Q21" i="1" s="1"/>
  <c r="Q27" i="1" s="1"/>
  <c r="C15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B15" i="1"/>
  <c r="B41" i="5" l="1"/>
  <c r="B21" i="5"/>
  <c r="B40" i="4"/>
  <c r="B20" i="4"/>
  <c r="AE11" i="1"/>
  <c r="AB11" i="1"/>
  <c r="Y11" i="1"/>
  <c r="Z11" i="1" s="1"/>
  <c r="AE9" i="1"/>
  <c r="AB9" i="1"/>
  <c r="Y9" i="1"/>
  <c r="Z9" i="1" s="1"/>
  <c r="Z7" i="1"/>
  <c r="H28" i="1"/>
  <c r="E49" i="1"/>
  <c r="X10" i="1" s="1"/>
  <c r="B16" i="1"/>
  <c r="B36" i="1"/>
  <c r="I20" i="1"/>
  <c r="I28" i="1" s="1"/>
  <c r="E28" i="1"/>
  <c r="F14" i="1"/>
  <c r="F28" i="1" s="1"/>
  <c r="B42" i="5" l="1"/>
  <c r="B22" i="5"/>
  <c r="B21" i="4"/>
  <c r="B41" i="4"/>
  <c r="AB16" i="1"/>
  <c r="AE10" i="1"/>
  <c r="AB10" i="1"/>
  <c r="Y10" i="1"/>
  <c r="Z10" i="1" s="1"/>
  <c r="X8" i="1"/>
  <c r="B17" i="1"/>
  <c r="B37" i="1"/>
  <c r="B43" i="5" l="1"/>
  <c r="B23" i="5"/>
  <c r="B42" i="4"/>
  <c r="B22" i="4"/>
  <c r="Y8" i="1"/>
  <c r="AE8" i="1"/>
  <c r="AE16" i="1" s="1"/>
  <c r="X16" i="1"/>
  <c r="B18" i="1"/>
  <c r="B38" i="1"/>
  <c r="B24" i="5" l="1"/>
  <c r="B44" i="5"/>
  <c r="B23" i="4"/>
  <c r="B43" i="4"/>
  <c r="Z8" i="1"/>
  <c r="Z16" i="1" s="1"/>
  <c r="Z23" i="1" s="1"/>
  <c r="Y16" i="1"/>
  <c r="Y23" i="1" s="1"/>
  <c r="B19" i="1"/>
  <c r="B39" i="1"/>
  <c r="B25" i="5" l="1"/>
  <c r="B45" i="5"/>
  <c r="B44" i="4"/>
  <c r="B24" i="4"/>
  <c r="B20" i="1"/>
  <c r="B40" i="1"/>
  <c r="B46" i="5" l="1"/>
  <c r="B26" i="5"/>
  <c r="B47" i="5" s="1"/>
  <c r="B25" i="4"/>
  <c r="B45" i="4"/>
  <c r="B21" i="1"/>
  <c r="B41" i="1"/>
  <c r="B46" i="4" l="1"/>
  <c r="B26" i="4"/>
  <c r="B47" i="4" s="1"/>
  <c r="B22" i="1"/>
  <c r="B42" i="1"/>
  <c r="B23" i="1" l="1"/>
  <c r="B43" i="1"/>
  <c r="B24" i="1" l="1"/>
  <c r="B44" i="1"/>
  <c r="B25" i="1" l="1"/>
  <c r="B45" i="1"/>
  <c r="B26" i="1" l="1"/>
  <c r="B47" i="1" s="1"/>
  <c r="B46" i="1"/>
</calcChain>
</file>

<file path=xl/sharedStrings.xml><?xml version="1.0" encoding="utf-8"?>
<sst xmlns="http://schemas.openxmlformats.org/spreadsheetml/2006/main" count="319" uniqueCount="68">
  <si>
    <t>Lechones</t>
  </si>
  <si>
    <t>Alimento</t>
  </si>
  <si>
    <t>Cantidad</t>
  </si>
  <si>
    <t>V. Unitario</t>
  </si>
  <si>
    <t>Total (+2%)</t>
  </si>
  <si>
    <t>Lote</t>
  </si>
  <si>
    <t>Peso T. (Kg)</t>
  </si>
  <si>
    <t>Peso U. (Kg)</t>
  </si>
  <si>
    <t>Precio U. ($)</t>
  </si>
  <si>
    <t>TOTAL ($)</t>
  </si>
  <si>
    <t>Precio / Kg ($)</t>
  </si>
  <si>
    <t>Varios</t>
  </si>
  <si>
    <t>Arriendo</t>
  </si>
  <si>
    <t>Nómina</t>
  </si>
  <si>
    <t>Animales</t>
  </si>
  <si>
    <t>Innosure</t>
  </si>
  <si>
    <t>-</t>
  </si>
  <si>
    <t>FECHA</t>
  </si>
  <si>
    <t>SEMANA</t>
  </si>
  <si>
    <t>LECHÓN 50 SUPREMO</t>
  </si>
  <si>
    <t>TOTALES</t>
  </si>
  <si>
    <t>CR ESPECIAL FINALIZADOR</t>
  </si>
  <si>
    <t>ALIMENTO</t>
  </si>
  <si>
    <t>LECHONES</t>
  </si>
  <si>
    <t>Fecha</t>
  </si>
  <si>
    <t>VARIOS</t>
  </si>
  <si>
    <t>FLETES</t>
  </si>
  <si>
    <t>ARRIENDO</t>
  </si>
  <si>
    <t>NÓMINA</t>
  </si>
  <si>
    <t>INNOSURE</t>
  </si>
  <si>
    <t>LOTE 001 - COSTOS</t>
  </si>
  <si>
    <t>RESULTADOS</t>
  </si>
  <si>
    <t>Despacho</t>
  </si>
  <si>
    <t>Precio ($/Kg)</t>
  </si>
  <si>
    <t>Cerdos</t>
  </si>
  <si>
    <t>Peso (Kg)</t>
  </si>
  <si>
    <t>DESPACHOS</t>
  </si>
  <si>
    <t>Peso Unitario</t>
  </si>
  <si>
    <t>Peso total</t>
  </si>
  <si>
    <t>C / Animal</t>
  </si>
  <si>
    <t>C. Total</t>
  </si>
  <si>
    <t>Días ceba</t>
  </si>
  <si>
    <t>Muertes</t>
  </si>
  <si>
    <t>G. Total</t>
  </si>
  <si>
    <t>G. Animal</t>
  </si>
  <si>
    <t>G. Diaria</t>
  </si>
  <si>
    <t>Conversión</t>
  </si>
  <si>
    <t>Mortalidad</t>
  </si>
  <si>
    <t>CONSUMO</t>
  </si>
  <si>
    <t>GANANCIAS / CONVERSIÓN</t>
  </si>
  <si>
    <t>INICIAL</t>
  </si>
  <si>
    <t>FINAL</t>
  </si>
  <si>
    <t>LIQUIDACIÓN</t>
  </si>
  <si>
    <t>CONCEPTO</t>
  </si>
  <si>
    <t>Flete alimento</t>
  </si>
  <si>
    <t>Flete animales</t>
  </si>
  <si>
    <t>Costo / Animal</t>
  </si>
  <si>
    <t>Costo / Kg</t>
  </si>
  <si>
    <t>COSTOS</t>
  </si>
  <si>
    <t>PARTICIPACIÓN</t>
  </si>
  <si>
    <t>VENTA</t>
  </si>
  <si>
    <t>Venta</t>
  </si>
  <si>
    <t>Precio / Kg</t>
  </si>
  <si>
    <t>Precio / Animal</t>
  </si>
  <si>
    <t>Utilidad</t>
  </si>
  <si>
    <t>REPARTICIÓN</t>
  </si>
  <si>
    <t>LOTE 002 - COSTOS</t>
  </si>
  <si>
    <t>LOTE 003 -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</si>
</sst>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0.0%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Hadassah Friedlaender"/>
      <family val="1"/>
      <charset val="177"/>
    </font>
    <font>
      <b/>
      <sz val="11"/>
      <color theme="1"/>
      <name val="Hadassah Friedlaender"/>
      <family val="1"/>
      <charset val="177"/>
    </font>
    <font>
      <b/>
      <u/>
      <sz val="12"/>
      <color theme="1"/>
      <name val="Hadassah Friedlaender"/>
      <family val="1"/>
      <charset val="177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6" fontId="2" fillId="0" borderId="18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6" fontId="2" fillId="0" borderId="23" xfId="0" applyNumberFormat="1" applyFont="1" applyBorder="1" applyAlignment="1">
      <alignment horizontal="center" vertical="center"/>
    </xf>
    <xf numFmtId="6" fontId="3" fillId="6" borderId="23" xfId="0" applyNumberFormat="1" applyFont="1" applyFill="1" applyBorder="1" applyAlignment="1">
      <alignment horizontal="center" vertical="center"/>
    </xf>
    <xf numFmtId="6" fontId="3" fillId="6" borderId="24" xfId="0" applyNumberFormat="1" applyFont="1" applyFill="1" applyBorder="1" applyAlignment="1">
      <alignment horizontal="center" vertical="center"/>
    </xf>
    <xf numFmtId="6" fontId="2" fillId="2" borderId="15" xfId="0" applyNumberFormat="1" applyFont="1" applyFill="1" applyBorder="1" applyAlignment="1">
      <alignment horizontal="center" vertical="center"/>
    </xf>
    <xf numFmtId="6" fontId="3" fillId="9" borderId="16" xfId="0" applyNumberFormat="1" applyFont="1" applyFill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6" fontId="2" fillId="4" borderId="1" xfId="0" applyNumberFormat="1" applyFont="1" applyFill="1" applyBorder="1" applyAlignment="1">
      <alignment horizontal="center" vertical="center"/>
    </xf>
    <xf numFmtId="6" fontId="2" fillId="0" borderId="20" xfId="0" applyNumberFormat="1" applyFont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6" fontId="2" fillId="6" borderId="18" xfId="0" applyNumberFormat="1" applyFont="1" applyFill="1" applyBorder="1" applyAlignment="1">
      <alignment horizontal="center" vertical="center"/>
    </xf>
    <xf numFmtId="6" fontId="2" fillId="0" borderId="19" xfId="0" applyNumberFormat="1" applyFont="1" applyBorder="1" applyAlignment="1">
      <alignment horizontal="center" vertical="center"/>
    </xf>
    <xf numFmtId="6" fontId="2" fillId="6" borderId="24" xfId="0" applyNumberFormat="1" applyFont="1" applyFill="1" applyBorder="1" applyAlignment="1">
      <alignment horizontal="center" vertical="center"/>
    </xf>
    <xf numFmtId="6" fontId="2" fillId="0" borderId="17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10" fontId="2" fillId="0" borderId="24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6" fontId="3" fillId="0" borderId="23" xfId="0" applyNumberFormat="1" applyFont="1" applyBorder="1" applyAlignment="1">
      <alignment horizontal="center" vertical="center"/>
    </xf>
    <xf numFmtId="6" fontId="3" fillId="0" borderId="24" xfId="0" applyNumberFormat="1" applyFont="1" applyBorder="1" applyAlignment="1">
      <alignment horizontal="center" vertical="center"/>
    </xf>
    <xf numFmtId="6" fontId="3" fillId="0" borderId="25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6" fontId="2" fillId="0" borderId="24" xfId="0" applyNumberFormat="1" applyFont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6" fontId="3" fillId="6" borderId="17" xfId="0" applyNumberFormat="1" applyFont="1" applyFill="1" applyBorder="1" applyAlignment="1">
      <alignment horizontal="center" vertical="center"/>
    </xf>
    <xf numFmtId="6" fontId="3" fillId="6" borderId="1" xfId="0" applyNumberFormat="1" applyFont="1" applyFill="1" applyBorder="1" applyAlignment="1">
      <alignment horizontal="center" vertical="center"/>
    </xf>
    <xf numFmtId="6" fontId="3" fillId="6" borderId="25" xfId="0" applyNumberFormat="1" applyFont="1" applyFill="1" applyBorder="1" applyAlignment="1">
      <alignment horizontal="center" vertical="center"/>
    </xf>
    <xf numFmtId="6" fontId="3" fillId="6" borderId="23" xfId="0" applyNumberFormat="1" applyFont="1" applyFill="1" applyBorder="1" applyAlignment="1">
      <alignment horizontal="center" vertical="center"/>
    </xf>
    <xf numFmtId="6" fontId="3" fillId="6" borderId="18" xfId="0" applyNumberFormat="1" applyFont="1" applyFill="1" applyBorder="1" applyAlignment="1">
      <alignment horizontal="center" vertical="center"/>
    </xf>
    <xf numFmtId="6" fontId="3" fillId="6" borderId="24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6" fontId="2" fillId="2" borderId="15" xfId="0" applyNumberFormat="1" applyFont="1" applyFill="1" applyBorder="1" applyAlignment="1">
      <alignment horizontal="center" vertical="center"/>
    </xf>
    <xf numFmtId="6" fontId="2" fillId="2" borderId="1" xfId="0" applyNumberFormat="1" applyFont="1" applyFill="1" applyBorder="1" applyAlignment="1">
      <alignment horizontal="center" vertical="center"/>
    </xf>
    <xf numFmtId="6" fontId="3" fillId="9" borderId="25" xfId="0" applyNumberFormat="1" applyFont="1" applyFill="1" applyBorder="1" applyAlignment="1">
      <alignment horizontal="center" vertical="center"/>
    </xf>
    <xf numFmtId="6" fontId="3" fillId="9" borderId="23" xfId="0" applyNumberFormat="1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6" fontId="3" fillId="9" borderId="21" xfId="0" applyNumberFormat="1" applyFont="1" applyFill="1" applyBorder="1" applyAlignment="1">
      <alignment horizontal="center" vertical="center"/>
    </xf>
    <xf numFmtId="6" fontId="3" fillId="9" borderId="22" xfId="0" applyNumberFormat="1" applyFont="1" applyFill="1" applyBorder="1" applyAlignment="1">
      <alignment horizontal="center" vertical="center"/>
    </xf>
    <xf numFmtId="6" fontId="3" fillId="5" borderId="5" xfId="0" applyNumberFormat="1" applyFont="1" applyFill="1" applyBorder="1" applyAlignment="1">
      <alignment horizontal="center" vertical="center"/>
    </xf>
    <xf numFmtId="6" fontId="3" fillId="5" borderId="6" xfId="0" applyNumberFormat="1" applyFont="1" applyFill="1" applyBorder="1" applyAlignment="1">
      <alignment horizontal="center" vertical="center"/>
    </xf>
    <xf numFmtId="6" fontId="3" fillId="5" borderId="7" xfId="0" applyNumberFormat="1" applyFont="1" applyFill="1" applyBorder="1" applyAlignment="1">
      <alignment horizontal="center" vertical="center"/>
    </xf>
    <xf numFmtId="6" fontId="3" fillId="5" borderId="2" xfId="0" applyNumberFormat="1" applyFont="1" applyFill="1" applyBorder="1" applyAlignment="1">
      <alignment horizontal="center" vertical="center"/>
    </xf>
    <xf numFmtId="6" fontId="3" fillId="5" borderId="3" xfId="0" applyNumberFormat="1" applyFont="1" applyFill="1" applyBorder="1" applyAlignment="1">
      <alignment horizontal="center" vertical="center"/>
    </xf>
    <xf numFmtId="6" fontId="3" fillId="5" borderId="4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6" fontId="2" fillId="2" borderId="16" xfId="0" applyNumberFormat="1" applyFont="1" applyFill="1" applyBorder="1" applyAlignment="1">
      <alignment horizontal="center" vertical="center"/>
    </xf>
    <xf numFmtId="6" fontId="2" fillId="2" borderId="18" xfId="0" applyNumberFormat="1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9F72-46BE-4F94-811E-83D377275407}">
  <dimension ref="B1:AH62"/>
  <sheetViews>
    <sheetView showGridLines="0" tabSelected="1" topLeftCell="A4" zoomScaleNormal="100" zoomScaleSheetLayoutView="40" zoomScalePageLayoutView="40" workbookViewId="0">
      <selection activeCell="F53" sqref="D53:F53"/>
    </sheetView>
  </sheetViews>
  <sheetFormatPr baseColWidth="10" defaultRowHeight="14.4" x14ac:dyDescent="0.3"/>
  <cols>
    <col min="1" max="1" width="4" style="1" customWidth="1"/>
    <col min="2" max="2" width="12.109375" style="1" bestFit="1" customWidth="1"/>
    <col min="3" max="3" width="9.77734375" style="1" bestFit="1" customWidth="1"/>
    <col min="4" max="4" width="11" style="1" bestFit="1" customWidth="1"/>
    <col min="5" max="5" width="11.44140625" style="1" bestFit="1" customWidth="1"/>
    <col min="6" max="6" width="12.109375" style="1" bestFit="1" customWidth="1"/>
    <col min="7" max="7" width="13.5546875" style="1" bestFit="1" customWidth="1"/>
    <col min="8" max="8" width="12" style="1" bestFit="1" customWidth="1"/>
    <col min="9" max="9" width="12.44140625" style="1" bestFit="1" customWidth="1"/>
    <col min="10" max="10" width="4" style="1" customWidth="1"/>
    <col min="11" max="11" width="2.21875" style="1" customWidth="1"/>
    <col min="12" max="12" width="4" style="1" customWidth="1"/>
    <col min="13" max="13" width="13.6640625" style="1" customWidth="1"/>
    <col min="14" max="14" width="12.44140625" style="1" customWidth="1"/>
    <col min="15" max="15" width="12.77734375" style="1" bestFit="1" customWidth="1"/>
    <col min="16" max="17" width="13.21875" style="1" customWidth="1"/>
    <col min="18" max="18" width="12.77734375" style="1" bestFit="1" customWidth="1"/>
    <col min="19" max="19" width="4" style="1" customWidth="1"/>
    <col min="20" max="20" width="2.21875" style="1" customWidth="1"/>
    <col min="21" max="21" width="4" style="1" customWidth="1"/>
    <col min="22" max="22" width="15.109375" style="1" customWidth="1"/>
    <col min="23" max="23" width="2.33203125" style="1" customWidth="1"/>
    <col min="24" max="24" width="13.44140625" style="1" bestFit="1" customWidth="1"/>
    <col min="25" max="25" width="15.6640625" style="1" customWidth="1"/>
    <col min="26" max="26" width="11.6640625" style="1" bestFit="1" customWidth="1"/>
    <col min="27" max="27" width="4.109375" style="1" customWidth="1"/>
    <col min="28" max="28" width="12.33203125" style="1" bestFit="1" customWidth="1"/>
    <col min="29" max="29" width="7" style="1" bestFit="1" customWidth="1"/>
    <col min="30" max="30" width="2.33203125" style="1" customWidth="1"/>
    <col min="31" max="31" width="12" style="1" bestFit="1" customWidth="1"/>
    <col min="32" max="32" width="6.77734375" style="1" bestFit="1" customWidth="1"/>
    <col min="33" max="33" width="4" style="1" customWidth="1"/>
    <col min="34" max="34" width="2.21875" style="1" customWidth="1"/>
    <col min="35" max="16384" width="11.5546875" style="1"/>
  </cols>
  <sheetData>
    <row r="1" spans="2:34" x14ac:dyDescent="0.3">
      <c r="B1" s="87" t="s">
        <v>30</v>
      </c>
      <c r="C1" s="88"/>
      <c r="D1" s="88"/>
      <c r="E1" s="88"/>
      <c r="F1" s="88"/>
      <c r="G1" s="88"/>
      <c r="H1" s="88"/>
      <c r="I1" s="89"/>
      <c r="K1" s="93"/>
      <c r="M1" s="87" t="s">
        <v>31</v>
      </c>
      <c r="N1" s="88"/>
      <c r="O1" s="88"/>
      <c r="P1" s="88"/>
      <c r="Q1" s="88"/>
      <c r="R1" s="89"/>
      <c r="T1" s="93"/>
      <c r="V1" s="53" t="s">
        <v>52</v>
      </c>
      <c r="W1" s="54"/>
      <c r="X1" s="54"/>
      <c r="Y1" s="54"/>
      <c r="Z1" s="54"/>
      <c r="AA1" s="54"/>
      <c r="AB1" s="54"/>
      <c r="AC1" s="54"/>
      <c r="AD1" s="54"/>
      <c r="AE1" s="54"/>
      <c r="AF1" s="55"/>
      <c r="AH1" s="93"/>
    </row>
    <row r="2" spans="2:34" ht="15" thickBot="1" x14ac:dyDescent="0.35">
      <c r="B2" s="90"/>
      <c r="C2" s="91"/>
      <c r="D2" s="91"/>
      <c r="E2" s="91"/>
      <c r="F2" s="91"/>
      <c r="G2" s="91"/>
      <c r="H2" s="91"/>
      <c r="I2" s="92"/>
      <c r="K2" s="93"/>
      <c r="M2" s="90"/>
      <c r="N2" s="91"/>
      <c r="O2" s="91"/>
      <c r="P2" s="91"/>
      <c r="Q2" s="91"/>
      <c r="R2" s="92"/>
      <c r="T2" s="93"/>
      <c r="V2" s="56"/>
      <c r="W2" s="57"/>
      <c r="X2" s="57"/>
      <c r="Y2" s="57"/>
      <c r="Z2" s="57"/>
      <c r="AA2" s="57"/>
      <c r="AB2" s="57"/>
      <c r="AC2" s="57"/>
      <c r="AD2" s="57"/>
      <c r="AE2" s="57"/>
      <c r="AF2" s="58"/>
      <c r="AH2" s="93"/>
    </row>
    <row r="3" spans="2:34" ht="15" thickBot="1" x14ac:dyDescent="0.35">
      <c r="C3" s="3"/>
      <c r="D3" s="3"/>
      <c r="E3" s="3"/>
      <c r="F3" s="3"/>
      <c r="G3" s="3"/>
      <c r="H3" s="3"/>
      <c r="I3" s="3"/>
      <c r="J3" s="3"/>
      <c r="K3" s="93"/>
      <c r="L3" s="3"/>
      <c r="M3" s="3"/>
      <c r="S3" s="3"/>
      <c r="T3" s="93"/>
      <c r="U3" s="3"/>
      <c r="AG3" s="3"/>
      <c r="AH3" s="93"/>
    </row>
    <row r="4" spans="2:34" ht="15" thickBot="1" x14ac:dyDescent="0.35">
      <c r="B4" s="99" t="s">
        <v>23</v>
      </c>
      <c r="C4" s="100"/>
      <c r="D4" s="100"/>
      <c r="E4" s="100"/>
      <c r="F4" s="100"/>
      <c r="G4" s="100"/>
      <c r="H4" s="100"/>
      <c r="I4" s="101"/>
      <c r="J4" s="3"/>
      <c r="K4" s="93"/>
      <c r="L4" s="3"/>
      <c r="M4" s="80" t="s">
        <v>36</v>
      </c>
      <c r="N4" s="81"/>
      <c r="O4" s="81"/>
      <c r="P4" s="81"/>
      <c r="Q4" s="81"/>
      <c r="R4" s="82"/>
      <c r="S4" s="3"/>
      <c r="T4" s="93"/>
      <c r="U4" s="3"/>
      <c r="V4" s="59" t="s">
        <v>58</v>
      </c>
      <c r="W4" s="60"/>
      <c r="X4" s="60"/>
      <c r="Y4" s="60"/>
      <c r="Z4" s="61"/>
      <c r="AB4" s="59" t="s">
        <v>59</v>
      </c>
      <c r="AC4" s="60"/>
      <c r="AD4" s="60"/>
      <c r="AE4" s="60"/>
      <c r="AF4" s="61"/>
      <c r="AG4" s="3"/>
      <c r="AH4" s="93"/>
    </row>
    <row r="5" spans="2:34" ht="15" thickBot="1" x14ac:dyDescent="0.35">
      <c r="B5" s="3"/>
      <c r="C5" s="3"/>
      <c r="D5" s="3"/>
      <c r="E5" s="3"/>
      <c r="F5" s="3"/>
      <c r="G5" s="3"/>
      <c r="H5" s="3"/>
      <c r="I5" s="3"/>
      <c r="J5" s="3"/>
      <c r="K5" s="93"/>
      <c r="L5" s="3"/>
      <c r="S5" s="3"/>
      <c r="T5" s="93"/>
      <c r="U5" s="3"/>
      <c r="AG5" s="3"/>
      <c r="AH5" s="93"/>
    </row>
    <row r="6" spans="2:34" x14ac:dyDescent="0.3">
      <c r="B6" s="9" t="s">
        <v>24</v>
      </c>
      <c r="C6" s="21" t="s">
        <v>5</v>
      </c>
      <c r="D6" s="21" t="s">
        <v>2</v>
      </c>
      <c r="E6" s="21" t="s">
        <v>6</v>
      </c>
      <c r="F6" s="21" t="s">
        <v>7</v>
      </c>
      <c r="G6" s="21" t="s">
        <v>10</v>
      </c>
      <c r="H6" s="21" t="s">
        <v>8</v>
      </c>
      <c r="I6" s="22" t="s">
        <v>9</v>
      </c>
      <c r="J6" s="3"/>
      <c r="K6" s="93"/>
      <c r="L6" s="3"/>
      <c r="M6" s="9" t="s">
        <v>24</v>
      </c>
      <c r="N6" s="21" t="s">
        <v>32</v>
      </c>
      <c r="O6" s="10" t="s">
        <v>34</v>
      </c>
      <c r="P6" s="10" t="s">
        <v>35</v>
      </c>
      <c r="Q6" s="10" t="s">
        <v>33</v>
      </c>
      <c r="R6" s="27" t="s">
        <v>9</v>
      </c>
      <c r="S6" s="3"/>
      <c r="T6" s="93"/>
      <c r="U6" s="3"/>
      <c r="V6" s="9" t="s">
        <v>53</v>
      </c>
      <c r="W6" s="35"/>
      <c r="X6" s="10" t="s">
        <v>9</v>
      </c>
      <c r="Y6" s="10" t="s">
        <v>56</v>
      </c>
      <c r="Z6" s="45" t="s">
        <v>57</v>
      </c>
      <c r="AB6" s="65" t="s">
        <v>23</v>
      </c>
      <c r="AC6" s="66"/>
      <c r="AD6" s="35"/>
      <c r="AE6" s="66" t="s">
        <v>22</v>
      </c>
      <c r="AF6" s="67"/>
      <c r="AG6" s="3"/>
      <c r="AH6" s="93"/>
    </row>
    <row r="7" spans="2:34" ht="15" thickBot="1" x14ac:dyDescent="0.35">
      <c r="B7" s="23">
        <v>45917</v>
      </c>
      <c r="C7" s="17">
        <v>1</v>
      </c>
      <c r="D7" s="17">
        <v>173</v>
      </c>
      <c r="E7" s="24">
        <v>5683.5</v>
      </c>
      <c r="F7" s="24">
        <f>+E7/D7</f>
        <v>32.852601156069362</v>
      </c>
      <c r="G7" s="18">
        <v>12588</v>
      </c>
      <c r="H7" s="18">
        <f>+G7*F7</f>
        <v>413548.54335260112</v>
      </c>
      <c r="I7" s="20">
        <f>+H7*D7</f>
        <v>71543898</v>
      </c>
      <c r="J7" s="3"/>
      <c r="K7" s="93"/>
      <c r="L7" s="3"/>
      <c r="M7" s="12">
        <v>45994</v>
      </c>
      <c r="N7" s="6">
        <v>1</v>
      </c>
      <c r="O7" s="6"/>
      <c r="P7" s="6">
        <f>+O7*128</f>
        <v>0</v>
      </c>
      <c r="Q7" s="8"/>
      <c r="R7" s="29">
        <f>+P7*Q7</f>
        <v>0</v>
      </c>
      <c r="S7" s="3"/>
      <c r="T7" s="93"/>
      <c r="U7" s="3"/>
      <c r="V7" s="36" t="s">
        <v>0</v>
      </c>
      <c r="X7" s="8">
        <f>+I7</f>
        <v>71543898</v>
      </c>
      <c r="Y7" s="8" t="e">
        <f>+X7/$O$14</f>
        <v>#DIV/0!</v>
      </c>
      <c r="Z7" s="14" t="e">
        <f>+Y7/$N$26</f>
        <v>#DIV/0!</v>
      </c>
      <c r="AB7" s="32">
        <f>+X7</f>
        <v>71543898</v>
      </c>
      <c r="AC7" s="42">
        <f>+AB7/$X$16</f>
        <v>0.52370231028141201</v>
      </c>
      <c r="AD7" s="3"/>
      <c r="AE7" s="8"/>
      <c r="AF7" s="43">
        <f>+AE7/$X$16</f>
        <v>0</v>
      </c>
      <c r="AG7" s="3"/>
      <c r="AH7" s="93"/>
    </row>
    <row r="8" spans="2:34" x14ac:dyDescent="0.3">
      <c r="B8" s="2"/>
      <c r="E8" s="4"/>
      <c r="F8" s="4"/>
      <c r="G8" s="3"/>
      <c r="H8" s="3"/>
      <c r="I8" s="3"/>
      <c r="J8" s="3"/>
      <c r="K8" s="93"/>
      <c r="L8" s="3"/>
      <c r="M8" s="12">
        <v>45998</v>
      </c>
      <c r="N8" s="6">
        <v>2</v>
      </c>
      <c r="O8" s="6"/>
      <c r="P8" s="6">
        <f t="shared" ref="P8:P9" si="0">+O8*128</f>
        <v>0</v>
      </c>
      <c r="Q8" s="8"/>
      <c r="R8" s="29">
        <f t="shared" ref="R8:R12" si="1">+P8*Q8</f>
        <v>0</v>
      </c>
      <c r="S8" s="3"/>
      <c r="T8" s="93"/>
      <c r="U8" s="3"/>
      <c r="V8" s="36" t="s">
        <v>1</v>
      </c>
      <c r="X8" s="8">
        <f>+F28+I28</f>
        <v>43663192.019999996</v>
      </c>
      <c r="Y8" s="8" t="e">
        <f t="shared" ref="Y8:Y14" si="2">+X8/$O$14</f>
        <v>#DIV/0!</v>
      </c>
      <c r="Z8" s="14" t="e">
        <f t="shared" ref="Z8:Z14" si="3">+Y8/$N$26</f>
        <v>#DIV/0!</v>
      </c>
      <c r="AB8" s="32"/>
      <c r="AC8" s="42">
        <f t="shared" ref="AC8:AC14" si="4">+AB8/$X$16</f>
        <v>0</v>
      </c>
      <c r="AD8" s="3"/>
      <c r="AE8" s="8">
        <f>+X8</f>
        <v>43663192.019999996</v>
      </c>
      <c r="AF8" s="43">
        <f t="shared" ref="AF8:AF14" si="5">+AE8/$X$16</f>
        <v>0.31961516180086963</v>
      </c>
      <c r="AG8" s="3"/>
      <c r="AH8" s="93"/>
    </row>
    <row r="9" spans="2:34" ht="15" thickBot="1" x14ac:dyDescent="0.35">
      <c r="C9" s="3"/>
      <c r="D9" s="3"/>
      <c r="E9" s="3"/>
      <c r="F9" s="3"/>
      <c r="G9" s="3"/>
      <c r="H9" s="3"/>
      <c r="I9" s="3"/>
      <c r="J9" s="3"/>
      <c r="K9" s="93"/>
      <c r="L9" s="3"/>
      <c r="M9" s="12">
        <v>46001</v>
      </c>
      <c r="N9" s="6">
        <v>3</v>
      </c>
      <c r="O9" s="6"/>
      <c r="P9" s="6">
        <f t="shared" si="0"/>
        <v>0</v>
      </c>
      <c r="Q9" s="8"/>
      <c r="R9" s="29">
        <f t="shared" si="1"/>
        <v>0</v>
      </c>
      <c r="S9" s="3"/>
      <c r="T9" s="93"/>
      <c r="U9" s="3"/>
      <c r="V9" s="36" t="s">
        <v>55</v>
      </c>
      <c r="X9" s="8">
        <f>+D49</f>
        <v>1350000</v>
      </c>
      <c r="Y9" s="8" t="e">
        <f t="shared" si="2"/>
        <v>#DIV/0!</v>
      </c>
      <c r="Z9" s="14" t="e">
        <f t="shared" si="3"/>
        <v>#DIV/0!</v>
      </c>
      <c r="AB9" s="32">
        <f>+X9/2</f>
        <v>675000</v>
      </c>
      <c r="AC9" s="42">
        <f t="shared" si="4"/>
        <v>4.941009217025792E-3</v>
      </c>
      <c r="AD9" s="3"/>
      <c r="AE9" s="8">
        <f>+X9/2</f>
        <v>675000</v>
      </c>
      <c r="AF9" s="43">
        <f t="shared" si="5"/>
        <v>4.941009217025792E-3</v>
      </c>
      <c r="AG9" s="3"/>
      <c r="AH9" s="93"/>
    </row>
    <row r="10" spans="2:34" ht="15" thickBot="1" x14ac:dyDescent="0.35">
      <c r="B10" s="96" t="s">
        <v>22</v>
      </c>
      <c r="C10" s="97"/>
      <c r="D10" s="97"/>
      <c r="E10" s="97"/>
      <c r="F10" s="97"/>
      <c r="G10" s="97"/>
      <c r="H10" s="97"/>
      <c r="I10" s="98"/>
      <c r="K10" s="93"/>
      <c r="M10" s="28"/>
      <c r="N10" s="6">
        <v>4</v>
      </c>
      <c r="O10" s="8"/>
      <c r="P10" s="6"/>
      <c r="Q10" s="8"/>
      <c r="R10" s="29">
        <f t="shared" si="1"/>
        <v>0</v>
      </c>
      <c r="T10" s="93"/>
      <c r="V10" s="36" t="s">
        <v>54</v>
      </c>
      <c r="X10" s="8">
        <f>+E49</f>
        <v>1774800</v>
      </c>
      <c r="Y10" s="8" t="e">
        <f t="shared" si="2"/>
        <v>#DIV/0!</v>
      </c>
      <c r="Z10" s="14" t="e">
        <f t="shared" si="3"/>
        <v>#DIV/0!</v>
      </c>
      <c r="AB10" s="32">
        <f t="shared" ref="AB10:AB14" si="6">+X10/2</f>
        <v>887400</v>
      </c>
      <c r="AC10" s="42">
        <f t="shared" si="4"/>
        <v>6.4957801173165745E-3</v>
      </c>
      <c r="AD10" s="3"/>
      <c r="AE10" s="8">
        <f t="shared" ref="AE10:AE14" si="7">+X10/2</f>
        <v>887400</v>
      </c>
      <c r="AF10" s="43">
        <f t="shared" si="5"/>
        <v>6.4957801173165745E-3</v>
      </c>
      <c r="AH10" s="93"/>
    </row>
    <row r="11" spans="2:34" ht="15" thickBot="1" x14ac:dyDescent="0.35">
      <c r="K11" s="93"/>
      <c r="M11" s="32"/>
      <c r="N11" s="6">
        <v>5</v>
      </c>
      <c r="O11" s="6"/>
      <c r="P11" s="6"/>
      <c r="Q11" s="8"/>
      <c r="R11" s="29">
        <f t="shared" si="1"/>
        <v>0</v>
      </c>
      <c r="T11" s="93"/>
      <c r="V11" s="36" t="s">
        <v>12</v>
      </c>
      <c r="X11" s="8">
        <f>+F49</f>
        <v>7525000</v>
      </c>
      <c r="Y11" s="8" t="e">
        <f t="shared" si="2"/>
        <v>#DIV/0!</v>
      </c>
      <c r="Z11" s="14" t="e">
        <f t="shared" si="3"/>
        <v>#DIV/0!</v>
      </c>
      <c r="AB11" s="32">
        <f t="shared" si="6"/>
        <v>3762500</v>
      </c>
      <c r="AC11" s="42">
        <f t="shared" si="4"/>
        <v>2.7541551376384508E-2</v>
      </c>
      <c r="AD11" s="3"/>
      <c r="AE11" s="8">
        <f t="shared" si="7"/>
        <v>3762500</v>
      </c>
      <c r="AF11" s="43">
        <f t="shared" si="5"/>
        <v>2.7541551376384508E-2</v>
      </c>
      <c r="AH11" s="93"/>
    </row>
    <row r="12" spans="2:34" x14ac:dyDescent="0.3">
      <c r="B12" s="102" t="s">
        <v>17</v>
      </c>
      <c r="C12" s="104" t="s">
        <v>18</v>
      </c>
      <c r="D12" s="108" t="s">
        <v>19</v>
      </c>
      <c r="E12" s="108"/>
      <c r="F12" s="108"/>
      <c r="G12" s="109" t="s">
        <v>21</v>
      </c>
      <c r="H12" s="109"/>
      <c r="I12" s="110"/>
      <c r="K12" s="93"/>
      <c r="M12" s="28"/>
      <c r="N12" s="6">
        <v>6</v>
      </c>
      <c r="O12" s="6"/>
      <c r="P12" s="6"/>
      <c r="Q12" s="8"/>
      <c r="R12" s="29">
        <f t="shared" si="1"/>
        <v>0</v>
      </c>
      <c r="T12" s="93"/>
      <c r="V12" s="36" t="s">
        <v>13</v>
      </c>
      <c r="X12" s="8">
        <f>+G49</f>
        <v>4103917</v>
      </c>
      <c r="Y12" s="8" t="e">
        <f t="shared" si="2"/>
        <v>#DIV/0!</v>
      </c>
      <c r="Z12" s="14" t="e">
        <f t="shared" si="3"/>
        <v>#DIV/0!</v>
      </c>
      <c r="AB12" s="32">
        <f t="shared" si="6"/>
        <v>2051958.5</v>
      </c>
      <c r="AC12" s="42">
        <f t="shared" si="4"/>
        <v>1.502036423919173E-2</v>
      </c>
      <c r="AD12" s="3"/>
      <c r="AE12" s="8">
        <f t="shared" si="7"/>
        <v>2051958.5</v>
      </c>
      <c r="AF12" s="43">
        <f t="shared" si="5"/>
        <v>1.502036423919173E-2</v>
      </c>
      <c r="AH12" s="93"/>
    </row>
    <row r="13" spans="2:34" x14ac:dyDescent="0.3">
      <c r="B13" s="103"/>
      <c r="C13" s="105"/>
      <c r="D13" s="5" t="s">
        <v>2</v>
      </c>
      <c r="E13" s="5" t="s">
        <v>3</v>
      </c>
      <c r="F13" s="5" t="s">
        <v>4</v>
      </c>
      <c r="G13" s="5" t="s">
        <v>2</v>
      </c>
      <c r="H13" s="5" t="s">
        <v>3</v>
      </c>
      <c r="I13" s="11" t="s">
        <v>4</v>
      </c>
      <c r="K13" s="93"/>
      <c r="M13" s="15"/>
      <c r="R13" s="16"/>
      <c r="T13" s="93"/>
      <c r="V13" s="36" t="s">
        <v>15</v>
      </c>
      <c r="X13" s="8">
        <f>+H49</f>
        <v>1576185</v>
      </c>
      <c r="Y13" s="8" t="e">
        <f t="shared" si="2"/>
        <v>#DIV/0!</v>
      </c>
      <c r="Z13" s="14" t="e">
        <f t="shared" si="3"/>
        <v>#DIV/0!</v>
      </c>
      <c r="AB13" s="32">
        <f t="shared" si="6"/>
        <v>788092.5</v>
      </c>
      <c r="AC13" s="42">
        <f t="shared" si="4"/>
        <v>5.7688478612872574E-3</v>
      </c>
      <c r="AD13" s="3"/>
      <c r="AE13" s="8">
        <f t="shared" si="7"/>
        <v>788092.5</v>
      </c>
      <c r="AF13" s="43">
        <f t="shared" si="5"/>
        <v>5.7688478612872574E-3</v>
      </c>
      <c r="AH13" s="93"/>
    </row>
    <row r="14" spans="2:34" ht="15" thickBot="1" x14ac:dyDescent="0.35">
      <c r="B14" s="12">
        <f>+B7</f>
        <v>45917</v>
      </c>
      <c r="C14" s="6">
        <v>1</v>
      </c>
      <c r="D14" s="6">
        <v>45</v>
      </c>
      <c r="E14" s="8">
        <f>77650*105%</f>
        <v>81532.5</v>
      </c>
      <c r="F14" s="8">
        <f t="shared" ref="F14:F19" si="8">(E14*D14)*102%</f>
        <v>3742341.75</v>
      </c>
      <c r="G14" s="6"/>
      <c r="H14" s="6"/>
      <c r="I14" s="13"/>
      <c r="K14" s="93"/>
      <c r="M14" s="85" t="s">
        <v>20</v>
      </c>
      <c r="N14" s="86"/>
      <c r="O14" s="17">
        <f>SUM(O7:O10)</f>
        <v>0</v>
      </c>
      <c r="P14" s="17">
        <f>SUM(P7:P10)</f>
        <v>0</v>
      </c>
      <c r="Q14" s="18" t="e">
        <f>+R14/P14</f>
        <v>#DIV/0!</v>
      </c>
      <c r="R14" s="31">
        <f>SUM(R7:R12)</f>
        <v>0</v>
      </c>
      <c r="T14" s="93"/>
      <c r="V14" s="36" t="s">
        <v>11</v>
      </c>
      <c r="X14" s="8">
        <f>+I49</f>
        <v>5074775</v>
      </c>
      <c r="Y14" s="8" t="e">
        <f t="shared" si="2"/>
        <v>#DIV/0!</v>
      </c>
      <c r="Z14" s="14" t="e">
        <f t="shared" si="3"/>
        <v>#DIV/0!</v>
      </c>
      <c r="AB14" s="32">
        <f t="shared" si="6"/>
        <v>2537387.5</v>
      </c>
      <c r="AC14" s="42">
        <f t="shared" si="4"/>
        <v>1.8573711147653379E-2</v>
      </c>
      <c r="AD14" s="3"/>
      <c r="AE14" s="8">
        <f t="shared" si="7"/>
        <v>2537387.5</v>
      </c>
      <c r="AF14" s="43">
        <f t="shared" si="5"/>
        <v>1.8573711147653379E-2</v>
      </c>
      <c r="AH14" s="93"/>
    </row>
    <row r="15" spans="2:34" x14ac:dyDescent="0.3">
      <c r="B15" s="12">
        <f>+B14+7</f>
        <v>45924</v>
      </c>
      <c r="C15" s="6">
        <f>+C14+1</f>
        <v>2</v>
      </c>
      <c r="D15" s="6">
        <v>49</v>
      </c>
      <c r="E15" s="8">
        <f t="shared" ref="E15:E19" si="9">77650*105%</f>
        <v>81532.5</v>
      </c>
      <c r="F15" s="8">
        <f t="shared" si="8"/>
        <v>4074994.35</v>
      </c>
      <c r="G15" s="6"/>
      <c r="H15" s="6"/>
      <c r="I15" s="13"/>
      <c r="K15" s="93"/>
      <c r="T15" s="93"/>
      <c r="V15" s="15"/>
      <c r="Z15" s="16"/>
      <c r="AB15" s="15"/>
      <c r="AF15" s="16"/>
      <c r="AH15" s="93"/>
    </row>
    <row r="16" spans="2:34" ht="15" thickBot="1" x14ac:dyDescent="0.35">
      <c r="B16" s="12">
        <f t="shared" ref="B16:B22" si="10">+B15+7</f>
        <v>45931</v>
      </c>
      <c r="C16" s="6">
        <f t="shared" ref="C16:C24" si="11">+C15+1</f>
        <v>3</v>
      </c>
      <c r="D16" s="6">
        <v>54</v>
      </c>
      <c r="E16" s="8">
        <f t="shared" si="9"/>
        <v>81532.5</v>
      </c>
      <c r="F16" s="8">
        <f t="shared" si="8"/>
        <v>4490810.0999999996</v>
      </c>
      <c r="G16" s="6"/>
      <c r="H16" s="6"/>
      <c r="I16" s="13"/>
      <c r="K16" s="93"/>
      <c r="T16" s="93"/>
      <c r="V16" s="46" t="s">
        <v>20</v>
      </c>
      <c r="W16" s="39"/>
      <c r="X16" s="47">
        <f>SUM(X7:X15)</f>
        <v>136611767.01999998</v>
      </c>
      <c r="Y16" s="47" t="e">
        <f>SUM(Y7:Y15)</f>
        <v>#DIV/0!</v>
      </c>
      <c r="Z16" s="48" t="e">
        <f>SUM(Z7:Z14)</f>
        <v>#DIV/0!</v>
      </c>
      <c r="AB16" s="49">
        <f>SUM(AB7:AB14)</f>
        <v>82246236.5</v>
      </c>
      <c r="AC16" s="50">
        <f>SUM(AC7:AC14)</f>
        <v>0.60204357424027122</v>
      </c>
      <c r="AD16" s="39"/>
      <c r="AE16" s="47">
        <f>SUM(AE7:AE14)</f>
        <v>54365530.519999996</v>
      </c>
      <c r="AF16" s="51">
        <f>SUM(AF7:AF14)</f>
        <v>0.39795642575972889</v>
      </c>
      <c r="AH16" s="93"/>
    </row>
    <row r="17" spans="2:34" ht="15" thickBot="1" x14ac:dyDescent="0.35">
      <c r="B17" s="12">
        <f t="shared" si="10"/>
        <v>45938</v>
      </c>
      <c r="C17" s="6">
        <f t="shared" si="11"/>
        <v>4</v>
      </c>
      <c r="D17" s="6">
        <v>57</v>
      </c>
      <c r="E17" s="8">
        <f t="shared" si="9"/>
        <v>81532.5</v>
      </c>
      <c r="F17" s="8">
        <f t="shared" si="8"/>
        <v>4740299.55</v>
      </c>
      <c r="G17" s="6"/>
      <c r="H17" s="6"/>
      <c r="I17" s="13"/>
      <c r="K17" s="93"/>
      <c r="M17" s="80" t="s">
        <v>31</v>
      </c>
      <c r="N17" s="81"/>
      <c r="O17" s="81"/>
      <c r="P17" s="81"/>
      <c r="Q17" s="82"/>
      <c r="T17" s="93"/>
      <c r="AH17" s="93"/>
    </row>
    <row r="18" spans="2:34" ht="15" thickBot="1" x14ac:dyDescent="0.35">
      <c r="B18" s="12">
        <f t="shared" si="10"/>
        <v>45945</v>
      </c>
      <c r="C18" s="6">
        <f t="shared" si="11"/>
        <v>5</v>
      </c>
      <c r="D18" s="6">
        <v>54</v>
      </c>
      <c r="E18" s="8">
        <f t="shared" si="9"/>
        <v>81532.5</v>
      </c>
      <c r="F18" s="8">
        <f t="shared" si="8"/>
        <v>4490810.0999999996</v>
      </c>
      <c r="G18" s="6"/>
      <c r="H18" s="6"/>
      <c r="I18" s="13"/>
      <c r="K18" s="93"/>
      <c r="T18" s="93"/>
      <c r="AH18" s="93"/>
    </row>
    <row r="19" spans="2:34" ht="15" thickBot="1" x14ac:dyDescent="0.35">
      <c r="B19" s="12">
        <f t="shared" si="10"/>
        <v>45952</v>
      </c>
      <c r="C19" s="6">
        <f t="shared" si="11"/>
        <v>6</v>
      </c>
      <c r="D19" s="6">
        <v>51</v>
      </c>
      <c r="E19" s="8">
        <f t="shared" si="9"/>
        <v>81532.5</v>
      </c>
      <c r="F19" s="8">
        <f t="shared" si="8"/>
        <v>4241320.6500000004</v>
      </c>
      <c r="G19" s="6"/>
      <c r="H19" s="6"/>
      <c r="I19" s="13"/>
      <c r="K19" s="93"/>
      <c r="M19" s="78" t="s">
        <v>50</v>
      </c>
      <c r="N19" s="74"/>
      <c r="O19" s="35"/>
      <c r="P19" s="74" t="s">
        <v>48</v>
      </c>
      <c r="Q19" s="75"/>
      <c r="T19" s="93"/>
      <c r="V19" s="59" t="s">
        <v>60</v>
      </c>
      <c r="W19" s="60"/>
      <c r="X19" s="60"/>
      <c r="Y19" s="60"/>
      <c r="Z19" s="61"/>
      <c r="AB19" s="62" t="s">
        <v>65</v>
      </c>
      <c r="AC19" s="63"/>
      <c r="AD19" s="63"/>
      <c r="AE19" s="63"/>
      <c r="AF19" s="64"/>
      <c r="AH19" s="93"/>
    </row>
    <row r="20" spans="2:34" ht="15" thickBot="1" x14ac:dyDescent="0.35">
      <c r="B20" s="12">
        <f t="shared" si="10"/>
        <v>45959</v>
      </c>
      <c r="C20" s="6">
        <f t="shared" si="11"/>
        <v>7</v>
      </c>
      <c r="D20" s="6"/>
      <c r="E20" s="8"/>
      <c r="F20" s="8"/>
      <c r="G20" s="6">
        <v>65</v>
      </c>
      <c r="H20" s="8">
        <f>78760*105%</f>
        <v>82698</v>
      </c>
      <c r="I20" s="14">
        <f t="shared" ref="I20:I21" si="12">(H20*G20)*102%</f>
        <v>5482877.4000000004</v>
      </c>
      <c r="K20" s="93"/>
      <c r="M20" s="36" t="s">
        <v>14</v>
      </c>
      <c r="N20" s="6">
        <f>+D7</f>
        <v>173</v>
      </c>
      <c r="P20" s="33" t="s">
        <v>40</v>
      </c>
      <c r="Q20" s="13">
        <f>+(D28+G28)*40</f>
        <v>20880</v>
      </c>
      <c r="T20" s="93"/>
      <c r="AH20" s="93"/>
    </row>
    <row r="21" spans="2:34" x14ac:dyDescent="0.3">
      <c r="B21" s="12">
        <f t="shared" si="10"/>
        <v>45966</v>
      </c>
      <c r="C21" s="6">
        <f t="shared" si="11"/>
        <v>8</v>
      </c>
      <c r="D21" s="6"/>
      <c r="E21" s="8"/>
      <c r="F21" s="8"/>
      <c r="G21" s="6">
        <v>72</v>
      </c>
      <c r="H21" s="8">
        <f t="shared" ref="H21:H22" si="13">78760*105%</f>
        <v>82698</v>
      </c>
      <c r="I21" s="14">
        <f t="shared" si="12"/>
        <v>6073341.1200000001</v>
      </c>
      <c r="K21" s="93"/>
      <c r="M21" s="36" t="s">
        <v>37</v>
      </c>
      <c r="N21" s="7">
        <f>+F7</f>
        <v>32.852601156069362</v>
      </c>
      <c r="P21" s="33" t="s">
        <v>39</v>
      </c>
      <c r="Q21" s="37" t="e">
        <f>+Q20/N25</f>
        <v>#DIV/0!</v>
      </c>
      <c r="T21" s="93"/>
      <c r="V21" s="9" t="s">
        <v>53</v>
      </c>
      <c r="W21" s="35"/>
      <c r="X21" s="10" t="s">
        <v>9</v>
      </c>
      <c r="Y21" s="10" t="s">
        <v>63</v>
      </c>
      <c r="Z21" s="45" t="s">
        <v>62</v>
      </c>
      <c r="AB21" s="65" t="s">
        <v>23</v>
      </c>
      <c r="AC21" s="66"/>
      <c r="AD21" s="35"/>
      <c r="AE21" s="66" t="s">
        <v>22</v>
      </c>
      <c r="AF21" s="67"/>
      <c r="AH21" s="93"/>
    </row>
    <row r="22" spans="2:34" x14ac:dyDescent="0.3">
      <c r="B22" s="12">
        <f t="shared" si="10"/>
        <v>45973</v>
      </c>
      <c r="C22" s="6">
        <f t="shared" si="11"/>
        <v>9</v>
      </c>
      <c r="D22" s="6"/>
      <c r="E22" s="8"/>
      <c r="F22" s="8"/>
      <c r="G22" s="6">
        <v>75</v>
      </c>
      <c r="H22" s="8">
        <f t="shared" si="13"/>
        <v>82698</v>
      </c>
      <c r="I22" s="14">
        <f t="shared" ref="I22" si="14">(H22*G22)*102%</f>
        <v>6326397</v>
      </c>
      <c r="K22" s="93"/>
      <c r="M22" s="36" t="s">
        <v>38</v>
      </c>
      <c r="N22" s="6">
        <f>+N20*N21</f>
        <v>5683.5</v>
      </c>
      <c r="Q22" s="16"/>
      <c r="T22" s="93"/>
      <c r="V22" s="36" t="s">
        <v>61</v>
      </c>
      <c r="X22" s="8">
        <f>+R14</f>
        <v>0</v>
      </c>
      <c r="Y22" s="8" t="e">
        <f>+X22/O14</f>
        <v>#DIV/0!</v>
      </c>
      <c r="Z22" s="14" t="e">
        <f>+Y22/N26</f>
        <v>#DIV/0!</v>
      </c>
      <c r="AB22" s="68">
        <f>+X23*AC16</f>
        <v>-82246236.5</v>
      </c>
      <c r="AC22" s="69"/>
      <c r="AE22" s="69">
        <f>+X23*AF16</f>
        <v>-54365530.520000003</v>
      </c>
      <c r="AF22" s="72"/>
      <c r="AH22" s="93"/>
    </row>
    <row r="23" spans="2:34" ht="15" thickBot="1" x14ac:dyDescent="0.35">
      <c r="B23" s="12">
        <f t="shared" ref="B23:B24" si="15">+B22+7</f>
        <v>45980</v>
      </c>
      <c r="C23" s="6">
        <f t="shared" si="11"/>
        <v>10</v>
      </c>
      <c r="D23" s="6"/>
      <c r="E23" s="8"/>
      <c r="F23" s="8"/>
      <c r="G23" s="6"/>
      <c r="H23" s="8"/>
      <c r="I23" s="14"/>
      <c r="J23" s="3"/>
      <c r="K23" s="93"/>
      <c r="L23" s="3"/>
      <c r="M23" s="15"/>
      <c r="P23" s="76" t="s">
        <v>49</v>
      </c>
      <c r="Q23" s="77"/>
      <c r="S23" s="3"/>
      <c r="T23" s="93"/>
      <c r="U23" s="3"/>
      <c r="V23" s="44" t="s">
        <v>64</v>
      </c>
      <c r="W23" s="39"/>
      <c r="X23" s="18">
        <f>+X22-X16</f>
        <v>-136611767.01999998</v>
      </c>
      <c r="Y23" s="18" t="e">
        <f>+Y22-Y16</f>
        <v>#DIV/0!</v>
      </c>
      <c r="Z23" s="52" t="e">
        <f>+Z22-Z16</f>
        <v>#DIV/0!</v>
      </c>
      <c r="AB23" s="70"/>
      <c r="AC23" s="71"/>
      <c r="AD23" s="39"/>
      <c r="AE23" s="71"/>
      <c r="AF23" s="73"/>
      <c r="AG23" s="3"/>
      <c r="AH23" s="93"/>
    </row>
    <row r="24" spans="2:34" x14ac:dyDescent="0.3">
      <c r="B24" s="12">
        <f t="shared" si="15"/>
        <v>45987</v>
      </c>
      <c r="C24" s="6">
        <f t="shared" si="11"/>
        <v>11</v>
      </c>
      <c r="D24" s="6"/>
      <c r="E24" s="8"/>
      <c r="F24" s="8"/>
      <c r="G24" s="6"/>
      <c r="H24" s="8"/>
      <c r="I24" s="14"/>
      <c r="J24" s="3"/>
      <c r="K24" s="93"/>
      <c r="L24" s="3"/>
      <c r="M24" s="79" t="s">
        <v>51</v>
      </c>
      <c r="N24" s="76"/>
      <c r="P24" s="33" t="s">
        <v>43</v>
      </c>
      <c r="Q24" s="37">
        <f>+N27-N22</f>
        <v>-5683.5</v>
      </c>
      <c r="S24" s="3"/>
      <c r="T24" s="93"/>
      <c r="U24" s="3"/>
      <c r="AG24" s="3"/>
      <c r="AH24" s="93"/>
    </row>
    <row r="25" spans="2:34" x14ac:dyDescent="0.3">
      <c r="B25" s="12">
        <f t="shared" ref="B25" si="16">+B24+7</f>
        <v>45994</v>
      </c>
      <c r="C25" s="6">
        <f t="shared" ref="C25" si="17">+C24+1</f>
        <v>12</v>
      </c>
      <c r="D25" s="6"/>
      <c r="E25" s="8"/>
      <c r="F25" s="8"/>
      <c r="G25" s="6"/>
      <c r="H25" s="8"/>
      <c r="I25" s="14"/>
      <c r="J25" s="3"/>
      <c r="K25" s="93"/>
      <c r="L25" s="3"/>
      <c r="M25" s="36" t="s">
        <v>14</v>
      </c>
      <c r="N25" s="6">
        <f>+O14</f>
        <v>0</v>
      </c>
      <c r="P25" s="33" t="s">
        <v>44</v>
      </c>
      <c r="Q25" s="37" t="e">
        <f>+Q24/N25</f>
        <v>#DIV/0!</v>
      </c>
      <c r="S25" s="3"/>
      <c r="T25" s="93"/>
      <c r="U25" s="3"/>
      <c r="AG25" s="3"/>
      <c r="AH25" s="93"/>
    </row>
    <row r="26" spans="2:34" x14ac:dyDescent="0.3">
      <c r="B26" s="12">
        <f t="shared" ref="B26" si="18">+B25+7</f>
        <v>46001</v>
      </c>
      <c r="C26" s="6">
        <f t="shared" ref="C26" si="19">+C25+1</f>
        <v>13</v>
      </c>
      <c r="D26" s="6"/>
      <c r="E26" s="8"/>
      <c r="F26" s="6"/>
      <c r="G26" s="6"/>
      <c r="H26" s="8"/>
      <c r="I26" s="14"/>
      <c r="J26" s="3"/>
      <c r="K26" s="93"/>
      <c r="L26" s="3"/>
      <c r="M26" s="36" t="s">
        <v>37</v>
      </c>
      <c r="N26" s="6" t="e">
        <f>+P14/N25</f>
        <v>#DIV/0!</v>
      </c>
      <c r="P26" s="33" t="s">
        <v>45</v>
      </c>
      <c r="Q26" s="37" t="e">
        <f>+Q25/Q29</f>
        <v>#DIV/0!</v>
      </c>
      <c r="S26" s="3"/>
      <c r="T26" s="93"/>
      <c r="U26" s="3"/>
      <c r="AG26" s="3"/>
      <c r="AH26" s="93"/>
    </row>
    <row r="27" spans="2:34" x14ac:dyDescent="0.3">
      <c r="B27" s="15"/>
      <c r="C27" s="3"/>
      <c r="E27" s="3"/>
      <c r="I27" s="16"/>
      <c r="J27" s="3"/>
      <c r="K27" s="93"/>
      <c r="L27" s="3"/>
      <c r="M27" s="36" t="s">
        <v>38</v>
      </c>
      <c r="N27" s="34">
        <f>+P14</f>
        <v>0</v>
      </c>
      <c r="P27" s="33" t="s">
        <v>46</v>
      </c>
      <c r="Q27" s="37" t="e">
        <f>+Q21/Q25</f>
        <v>#DIV/0!</v>
      </c>
      <c r="S27" s="3"/>
      <c r="T27" s="93"/>
      <c r="U27" s="3"/>
      <c r="AG27" s="3"/>
      <c r="AH27" s="93"/>
    </row>
    <row r="28" spans="2:34" ht="15" thickBot="1" x14ac:dyDescent="0.35">
      <c r="B28" s="94" t="s">
        <v>20</v>
      </c>
      <c r="C28" s="95"/>
      <c r="D28" s="17">
        <f>SUM(D14:D27)</f>
        <v>310</v>
      </c>
      <c r="E28" s="18">
        <f>+AVERAGE(E14:E26)</f>
        <v>81532.5</v>
      </c>
      <c r="F28" s="19">
        <f>SUM(F14:F25)</f>
        <v>25780576.5</v>
      </c>
      <c r="G28" s="17">
        <f>SUM(G14:G27)</f>
        <v>212</v>
      </c>
      <c r="H28" s="18">
        <f>+AVERAGE(H14:H26)</f>
        <v>82698</v>
      </c>
      <c r="I28" s="20">
        <f>SUM(I14:I25)</f>
        <v>17882615.52</v>
      </c>
      <c r="J28" s="3"/>
      <c r="K28" s="93"/>
      <c r="L28" s="3"/>
      <c r="M28" s="30"/>
      <c r="N28" s="3"/>
      <c r="Q28" s="16"/>
      <c r="S28" s="3"/>
      <c r="T28" s="93"/>
      <c r="U28" s="3"/>
      <c r="AG28" s="3"/>
      <c r="AH28" s="93"/>
    </row>
    <row r="29" spans="2:34" x14ac:dyDescent="0.3">
      <c r="C29" s="3"/>
      <c r="D29" s="3"/>
      <c r="E29" s="3"/>
      <c r="F29" s="3"/>
      <c r="G29" s="3"/>
      <c r="H29" s="3"/>
      <c r="I29" s="3"/>
      <c r="J29" s="3"/>
      <c r="K29" s="93"/>
      <c r="L29" s="3"/>
      <c r="M29" s="15"/>
      <c r="P29" s="33" t="s">
        <v>41</v>
      </c>
      <c r="Q29" s="37" t="e">
        <f>+(IF(M7="",0,(M7-B7)*O7)+IF(M8="",0,(M8-B7)*O8)+IF(M9="",0,(M9-B7)*O9)+IF(M10="",0,(M10-B7)*O10)+IF(M11="",0,(M11-B7)*O11)+IF(M12="",0,(M12-B7)*O12))/O14</f>
        <v>#DIV/0!</v>
      </c>
      <c r="S29" s="3"/>
      <c r="T29" s="93"/>
      <c r="U29" s="3"/>
      <c r="AG29" s="3"/>
      <c r="AH29" s="93"/>
    </row>
    <row r="30" spans="2:34" ht="15" thickBot="1" x14ac:dyDescent="0.35">
      <c r="C30" s="3"/>
      <c r="D30" s="3"/>
      <c r="E30" s="3"/>
      <c r="F30" s="3"/>
      <c r="G30" s="3"/>
      <c r="H30" s="3"/>
      <c r="I30" s="3"/>
      <c r="J30" s="3"/>
      <c r="K30" s="93"/>
      <c r="L30" s="3"/>
      <c r="M30" s="15"/>
      <c r="P30" s="33" t="s">
        <v>42</v>
      </c>
      <c r="Q30" s="13">
        <f>+N20-N25</f>
        <v>173</v>
      </c>
      <c r="S30" s="3"/>
      <c r="T30" s="93"/>
      <c r="U30" s="3"/>
      <c r="AG30" s="3"/>
      <c r="AH30" s="93"/>
    </row>
    <row r="31" spans="2:34" ht="15" thickBot="1" x14ac:dyDescent="0.35">
      <c r="B31" s="96" t="s">
        <v>25</v>
      </c>
      <c r="C31" s="97"/>
      <c r="D31" s="97"/>
      <c r="E31" s="97"/>
      <c r="F31" s="97"/>
      <c r="G31" s="97"/>
      <c r="H31" s="97"/>
      <c r="I31" s="98"/>
      <c r="J31" s="3"/>
      <c r="K31" s="93"/>
      <c r="L31" s="3"/>
      <c r="M31" s="38"/>
      <c r="N31" s="39"/>
      <c r="O31" s="39"/>
      <c r="P31" s="40" t="s">
        <v>47</v>
      </c>
      <c r="Q31" s="41">
        <f>+Q30/N20</f>
        <v>1</v>
      </c>
      <c r="S31" s="3"/>
      <c r="T31" s="93"/>
      <c r="U31" s="3"/>
      <c r="AG31" s="3"/>
      <c r="AH31" s="93"/>
    </row>
    <row r="32" spans="2:34" ht="15" thickBot="1" x14ac:dyDescent="0.35">
      <c r="C32" s="3"/>
      <c r="D32" s="3"/>
      <c r="E32" s="3"/>
      <c r="F32" s="3"/>
      <c r="G32" s="3"/>
      <c r="H32" s="3"/>
      <c r="I32" s="3"/>
      <c r="J32" s="3"/>
      <c r="K32" s="93"/>
      <c r="L32" s="3"/>
      <c r="S32" s="3"/>
      <c r="T32" s="93"/>
      <c r="U32" s="3"/>
      <c r="AG32" s="3"/>
      <c r="AH32" s="93"/>
    </row>
    <row r="33" spans="2:34" x14ac:dyDescent="0.3">
      <c r="B33" s="102" t="s">
        <v>17</v>
      </c>
      <c r="C33" s="104" t="s">
        <v>18</v>
      </c>
      <c r="D33" s="83" t="s">
        <v>26</v>
      </c>
      <c r="E33" s="83"/>
      <c r="F33" s="83" t="s">
        <v>27</v>
      </c>
      <c r="G33" s="83" t="s">
        <v>28</v>
      </c>
      <c r="H33" s="104" t="s">
        <v>29</v>
      </c>
      <c r="I33" s="106" t="s">
        <v>25</v>
      </c>
      <c r="J33" s="3"/>
      <c r="K33" s="93"/>
      <c r="L33" s="3"/>
      <c r="S33" s="3"/>
      <c r="T33" s="93"/>
      <c r="U33" s="3"/>
      <c r="AG33" s="3"/>
      <c r="AH33" s="93"/>
    </row>
    <row r="34" spans="2:34" x14ac:dyDescent="0.3">
      <c r="B34" s="103"/>
      <c r="C34" s="105"/>
      <c r="D34" s="25" t="s">
        <v>14</v>
      </c>
      <c r="E34" s="25" t="s">
        <v>1</v>
      </c>
      <c r="F34" s="84"/>
      <c r="G34" s="84"/>
      <c r="H34" s="105"/>
      <c r="I34" s="107"/>
      <c r="J34" s="3"/>
      <c r="K34" s="93"/>
      <c r="L34" s="3"/>
      <c r="S34" s="3"/>
      <c r="T34" s="93"/>
      <c r="U34" s="3"/>
      <c r="AG34" s="3"/>
      <c r="AH34" s="93"/>
    </row>
    <row r="35" spans="2:34" x14ac:dyDescent="0.3">
      <c r="B35" s="12">
        <f t="shared" ref="B35:B47" si="20">+B14</f>
        <v>45917</v>
      </c>
      <c r="C35" s="6">
        <v>1</v>
      </c>
      <c r="D35" s="8">
        <f>850000+500000</f>
        <v>1350000</v>
      </c>
      <c r="E35" s="8">
        <f t="shared" ref="E35:E47" si="21">+(680000/200)*(D14+G14)</f>
        <v>153000</v>
      </c>
      <c r="F35" s="8" t="s">
        <v>16</v>
      </c>
      <c r="G35" s="8" t="s">
        <v>16</v>
      </c>
      <c r="H35" s="8" t="s">
        <v>16</v>
      </c>
      <c r="I35" s="14" t="s">
        <v>16</v>
      </c>
      <c r="J35" s="3"/>
      <c r="K35" s="93"/>
      <c r="L35" s="3"/>
      <c r="S35" s="3"/>
      <c r="T35" s="93"/>
      <c r="U35" s="3"/>
      <c r="AG35" s="3"/>
      <c r="AH35" s="93"/>
    </row>
    <row r="36" spans="2:34" x14ac:dyDescent="0.3">
      <c r="B36" s="12">
        <f t="shared" si="20"/>
        <v>45924</v>
      </c>
      <c r="C36" s="6">
        <f>+C35+1</f>
        <v>2</v>
      </c>
      <c r="D36" s="8" t="s">
        <v>16</v>
      </c>
      <c r="E36" s="8">
        <f t="shared" si="21"/>
        <v>166600</v>
      </c>
      <c r="F36" s="8">
        <v>3500000</v>
      </c>
      <c r="G36" s="8">
        <v>2008960</v>
      </c>
      <c r="H36" s="8" t="s">
        <v>16</v>
      </c>
      <c r="I36" s="14">
        <v>3197375</v>
      </c>
      <c r="J36" s="3"/>
      <c r="K36" s="93"/>
      <c r="L36" s="3"/>
      <c r="S36" s="3"/>
      <c r="T36" s="93"/>
      <c r="U36" s="3"/>
      <c r="AG36" s="3"/>
      <c r="AH36" s="93"/>
    </row>
    <row r="37" spans="2:34" x14ac:dyDescent="0.3">
      <c r="B37" s="12">
        <f t="shared" si="20"/>
        <v>45931</v>
      </c>
      <c r="C37" s="6">
        <f t="shared" ref="C37:C47" si="22">+C36+1</f>
        <v>3</v>
      </c>
      <c r="D37" s="8" t="s">
        <v>16</v>
      </c>
      <c r="E37" s="8">
        <f t="shared" si="21"/>
        <v>183600</v>
      </c>
      <c r="F37" s="8" t="s">
        <v>16</v>
      </c>
      <c r="G37" s="8" t="s">
        <v>16</v>
      </c>
      <c r="H37" s="8">
        <v>811585</v>
      </c>
      <c r="I37" s="14" t="s">
        <v>16</v>
      </c>
      <c r="J37" s="3"/>
      <c r="K37" s="93"/>
      <c r="L37" s="3"/>
      <c r="P37" s="3"/>
      <c r="S37" s="3"/>
      <c r="T37" s="93"/>
      <c r="U37" s="3"/>
      <c r="AG37" s="3"/>
      <c r="AH37" s="93"/>
    </row>
    <row r="38" spans="2:34" x14ac:dyDescent="0.3">
      <c r="B38" s="12">
        <f t="shared" si="20"/>
        <v>45938</v>
      </c>
      <c r="C38" s="6">
        <f t="shared" si="22"/>
        <v>4</v>
      </c>
      <c r="D38" s="8" t="s">
        <v>16</v>
      </c>
      <c r="E38" s="8">
        <f t="shared" si="21"/>
        <v>193800</v>
      </c>
      <c r="F38" s="8" t="s">
        <v>16</v>
      </c>
      <c r="G38" s="8" t="s">
        <v>16</v>
      </c>
      <c r="H38" s="8" t="s">
        <v>16</v>
      </c>
      <c r="I38" s="14" t="s">
        <v>16</v>
      </c>
      <c r="J38" s="3"/>
      <c r="K38" s="93"/>
      <c r="M38" s="3"/>
      <c r="S38" s="3"/>
      <c r="T38" s="93"/>
      <c r="AH38" s="93"/>
    </row>
    <row r="39" spans="2:34" x14ac:dyDescent="0.3">
      <c r="B39" s="12">
        <f t="shared" si="20"/>
        <v>45945</v>
      </c>
      <c r="C39" s="6">
        <f t="shared" si="22"/>
        <v>5</v>
      </c>
      <c r="D39" s="8" t="s">
        <v>16</v>
      </c>
      <c r="E39" s="8">
        <f t="shared" si="21"/>
        <v>183600</v>
      </c>
      <c r="F39" s="8" t="s">
        <v>16</v>
      </c>
      <c r="G39" s="8" t="s">
        <v>16</v>
      </c>
      <c r="H39" s="8" t="s">
        <v>16</v>
      </c>
      <c r="I39" s="14" t="s">
        <v>16</v>
      </c>
      <c r="J39" s="3"/>
      <c r="K39" s="93"/>
      <c r="L39" s="3"/>
      <c r="M39" s="3"/>
      <c r="S39" s="3"/>
      <c r="T39" s="93"/>
      <c r="U39" s="3"/>
      <c r="AG39" s="3"/>
      <c r="AH39" s="93"/>
    </row>
    <row r="40" spans="2:34" x14ac:dyDescent="0.3">
      <c r="B40" s="12">
        <f t="shared" si="20"/>
        <v>45952</v>
      </c>
      <c r="C40" s="6">
        <f t="shared" si="22"/>
        <v>6</v>
      </c>
      <c r="D40" s="8" t="s">
        <v>16</v>
      </c>
      <c r="E40" s="8">
        <f t="shared" si="21"/>
        <v>173400</v>
      </c>
      <c r="F40" s="8" t="s">
        <v>16</v>
      </c>
      <c r="G40" s="8" t="s">
        <v>16</v>
      </c>
      <c r="H40" s="8" t="s">
        <v>16</v>
      </c>
      <c r="I40" s="14" t="s">
        <v>16</v>
      </c>
      <c r="J40" s="3"/>
      <c r="K40" s="93"/>
      <c r="L40" s="3"/>
      <c r="M40" s="3"/>
      <c r="S40" s="3"/>
      <c r="T40" s="93"/>
      <c r="U40" s="3"/>
      <c r="AG40" s="3"/>
      <c r="AH40" s="93"/>
    </row>
    <row r="41" spans="2:34" x14ac:dyDescent="0.3">
      <c r="B41" s="12">
        <f t="shared" si="20"/>
        <v>45959</v>
      </c>
      <c r="C41" s="6">
        <f t="shared" si="22"/>
        <v>7</v>
      </c>
      <c r="D41" s="8" t="s">
        <v>16</v>
      </c>
      <c r="E41" s="8">
        <f t="shared" si="21"/>
        <v>221000</v>
      </c>
      <c r="F41" s="8">
        <f>1750000+(1750000/2)</f>
        <v>2625000</v>
      </c>
      <c r="G41" s="8">
        <f>+(2793276/2)+(2793276/4)</f>
        <v>2094957</v>
      </c>
      <c r="H41" s="8" t="s">
        <v>16</v>
      </c>
      <c r="I41" s="14">
        <f>+(2503200/2)+(2503200/4)</f>
        <v>1877400</v>
      </c>
      <c r="J41" s="3"/>
      <c r="K41" s="93"/>
      <c r="L41" s="3"/>
      <c r="M41" s="3"/>
      <c r="S41" s="3"/>
      <c r="T41" s="93"/>
      <c r="U41" s="3"/>
      <c r="AG41" s="3"/>
      <c r="AH41" s="93"/>
    </row>
    <row r="42" spans="2:34" x14ac:dyDescent="0.3">
      <c r="B42" s="12">
        <f t="shared" si="20"/>
        <v>45966</v>
      </c>
      <c r="C42" s="6">
        <f t="shared" si="22"/>
        <v>8</v>
      </c>
      <c r="D42" s="8" t="s">
        <v>16</v>
      </c>
      <c r="E42" s="8">
        <f t="shared" si="21"/>
        <v>244800</v>
      </c>
      <c r="F42" s="8" t="s">
        <v>16</v>
      </c>
      <c r="G42" s="8" t="s">
        <v>16</v>
      </c>
      <c r="H42" s="8">
        <v>764600</v>
      </c>
      <c r="I42" s="14" t="s">
        <v>16</v>
      </c>
      <c r="J42" s="3"/>
      <c r="K42" s="93"/>
      <c r="L42" s="3"/>
      <c r="M42" s="3"/>
      <c r="S42" s="3"/>
      <c r="T42" s="93"/>
      <c r="U42" s="3"/>
      <c r="AG42" s="3"/>
      <c r="AH42" s="93"/>
    </row>
    <row r="43" spans="2:34" x14ac:dyDescent="0.3">
      <c r="B43" s="12">
        <f t="shared" si="20"/>
        <v>45973</v>
      </c>
      <c r="C43" s="6">
        <f t="shared" si="22"/>
        <v>9</v>
      </c>
      <c r="D43" s="8" t="s">
        <v>16</v>
      </c>
      <c r="E43" s="8">
        <f t="shared" si="21"/>
        <v>255000</v>
      </c>
      <c r="F43" s="8" t="s">
        <v>16</v>
      </c>
      <c r="G43" s="8" t="s">
        <v>16</v>
      </c>
      <c r="H43" s="8" t="s">
        <v>16</v>
      </c>
      <c r="I43" s="14" t="s">
        <v>16</v>
      </c>
      <c r="J43" s="3"/>
      <c r="K43" s="93"/>
      <c r="L43" s="3"/>
      <c r="M43" s="3"/>
      <c r="S43" s="3"/>
      <c r="T43" s="93"/>
      <c r="U43" s="3"/>
      <c r="AG43" s="3"/>
      <c r="AH43" s="93"/>
    </row>
    <row r="44" spans="2:34" x14ac:dyDescent="0.3">
      <c r="B44" s="12">
        <f t="shared" si="20"/>
        <v>45980</v>
      </c>
      <c r="C44" s="6">
        <f t="shared" si="22"/>
        <v>10</v>
      </c>
      <c r="D44" s="8" t="s">
        <v>16</v>
      </c>
      <c r="E44" s="8">
        <f t="shared" si="21"/>
        <v>0</v>
      </c>
      <c r="F44" s="8" t="s">
        <v>16</v>
      </c>
      <c r="G44" s="8" t="s">
        <v>16</v>
      </c>
      <c r="H44" s="8" t="s">
        <v>16</v>
      </c>
      <c r="I44" s="14" t="s">
        <v>16</v>
      </c>
      <c r="J44" s="3"/>
      <c r="K44" s="93"/>
      <c r="L44" s="3"/>
      <c r="M44" s="3"/>
      <c r="S44" s="3"/>
      <c r="T44" s="93"/>
      <c r="U44" s="3"/>
      <c r="AG44" s="3"/>
      <c r="AH44" s="93"/>
    </row>
    <row r="45" spans="2:34" x14ac:dyDescent="0.3">
      <c r="B45" s="12">
        <f t="shared" si="20"/>
        <v>45987</v>
      </c>
      <c r="C45" s="6">
        <f t="shared" si="22"/>
        <v>11</v>
      </c>
      <c r="D45" s="8" t="s">
        <v>16</v>
      </c>
      <c r="E45" s="8">
        <f t="shared" si="21"/>
        <v>0</v>
      </c>
      <c r="F45" s="8">
        <f>+((3500000*(0.4))/2)+((3500000*(18/30))/3)</f>
        <v>1400000</v>
      </c>
      <c r="G45" s="8" t="s">
        <v>16</v>
      </c>
      <c r="H45" s="8" t="s">
        <v>16</v>
      </c>
      <c r="I45" s="14" t="s">
        <v>16</v>
      </c>
      <c r="J45" s="3"/>
      <c r="K45" s="93"/>
      <c r="L45" s="3"/>
      <c r="M45" s="3"/>
      <c r="S45" s="3"/>
      <c r="T45" s="93"/>
      <c r="U45" s="3"/>
      <c r="AG45" s="3"/>
      <c r="AH45" s="93"/>
    </row>
    <row r="46" spans="2:34" x14ac:dyDescent="0.3">
      <c r="B46" s="12">
        <f t="shared" si="20"/>
        <v>45994</v>
      </c>
      <c r="C46" s="6">
        <f t="shared" si="22"/>
        <v>12</v>
      </c>
      <c r="D46" s="8" t="s">
        <v>16</v>
      </c>
      <c r="E46" s="8">
        <f t="shared" si="21"/>
        <v>0</v>
      </c>
      <c r="F46" s="8"/>
      <c r="G46" s="8"/>
      <c r="H46" s="8" t="s">
        <v>16</v>
      </c>
      <c r="I46" s="14"/>
      <c r="J46" s="3"/>
      <c r="K46" s="93"/>
      <c r="L46" s="3"/>
      <c r="M46" s="3"/>
      <c r="S46" s="3"/>
      <c r="T46" s="93"/>
      <c r="U46" s="3"/>
      <c r="AG46" s="3"/>
      <c r="AH46" s="93"/>
    </row>
    <row r="47" spans="2:34" x14ac:dyDescent="0.3">
      <c r="B47" s="12">
        <f t="shared" si="20"/>
        <v>46001</v>
      </c>
      <c r="C47" s="6">
        <f t="shared" si="22"/>
        <v>13</v>
      </c>
      <c r="D47" s="8" t="s">
        <v>16</v>
      </c>
      <c r="E47" s="8">
        <f t="shared" si="21"/>
        <v>0</v>
      </c>
      <c r="F47" s="8"/>
      <c r="G47" s="8"/>
      <c r="H47" s="8" t="s">
        <v>16</v>
      </c>
      <c r="I47" s="14"/>
      <c r="J47" s="3"/>
      <c r="K47" s="93"/>
      <c r="L47" s="3"/>
      <c r="M47" s="3"/>
      <c r="S47" s="3"/>
      <c r="T47" s="93"/>
      <c r="U47" s="3"/>
      <c r="AG47" s="3"/>
      <c r="AH47" s="93"/>
    </row>
    <row r="48" spans="2:34" x14ac:dyDescent="0.3">
      <c r="B48" s="15"/>
      <c r="C48" s="3"/>
      <c r="D48" s="3"/>
      <c r="E48" s="3"/>
      <c r="F48" s="3"/>
      <c r="G48" s="3"/>
      <c r="H48" s="3"/>
      <c r="I48" s="26"/>
      <c r="J48" s="3"/>
      <c r="K48" s="93"/>
      <c r="L48" s="3"/>
      <c r="M48" s="3"/>
      <c r="S48" s="3"/>
      <c r="T48" s="93"/>
      <c r="U48" s="3"/>
      <c r="AG48" s="3"/>
      <c r="AH48" s="93"/>
    </row>
    <row r="49" spans="2:34" ht="15" thickBot="1" x14ac:dyDescent="0.35">
      <c r="B49" s="94" t="s">
        <v>20</v>
      </c>
      <c r="C49" s="95"/>
      <c r="D49" s="19">
        <f>SUM(D35:D47)</f>
        <v>1350000</v>
      </c>
      <c r="E49" s="19">
        <f t="shared" ref="E49:I49" si="23">SUM(E35:E47)</f>
        <v>1774800</v>
      </c>
      <c r="F49" s="19">
        <f t="shared" si="23"/>
        <v>7525000</v>
      </c>
      <c r="G49" s="19">
        <f t="shared" si="23"/>
        <v>4103917</v>
      </c>
      <c r="H49" s="19">
        <f t="shared" si="23"/>
        <v>1576185</v>
      </c>
      <c r="I49" s="20">
        <f t="shared" si="23"/>
        <v>5074775</v>
      </c>
      <c r="J49" s="3"/>
      <c r="K49" s="93"/>
      <c r="L49" s="3"/>
      <c r="M49" s="3"/>
      <c r="S49" s="3"/>
      <c r="T49" s="93"/>
      <c r="U49" s="3"/>
      <c r="AG49" s="3"/>
      <c r="AH49" s="93"/>
    </row>
    <row r="50" spans="2:34" x14ac:dyDescent="0.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S50" s="3"/>
      <c r="T50" s="3"/>
      <c r="U50" s="3"/>
      <c r="AG50" s="3"/>
      <c r="AH50" s="3"/>
    </row>
    <row r="51" spans="2:34" x14ac:dyDescent="0.3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S51" s="3"/>
      <c r="T51" s="3"/>
      <c r="U51" s="3"/>
      <c r="AG51" s="3"/>
      <c r="AH51" s="3"/>
    </row>
    <row r="52" spans="2:34" x14ac:dyDescent="0.3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S52" s="3"/>
      <c r="T52" s="3"/>
      <c r="U52" s="3"/>
      <c r="AG52" s="3"/>
      <c r="AH52" s="3"/>
    </row>
    <row r="53" spans="2:34" x14ac:dyDescent="0.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S53" s="3"/>
      <c r="T53" s="3"/>
      <c r="U53" s="3"/>
      <c r="AG53" s="3"/>
      <c r="AH53" s="3"/>
    </row>
    <row r="54" spans="2:34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S54" s="3"/>
      <c r="T54" s="3"/>
      <c r="U54" s="3"/>
      <c r="AG54" s="3"/>
      <c r="AH54" s="3"/>
    </row>
    <row r="55" spans="2:34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S55" s="3"/>
      <c r="T55" s="3"/>
      <c r="U55" s="3"/>
      <c r="AG55" s="3"/>
      <c r="AH55" s="3"/>
    </row>
    <row r="56" spans="2:34" x14ac:dyDescent="0.3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S56" s="3"/>
      <c r="T56" s="3"/>
      <c r="U56" s="3"/>
      <c r="AG56" s="3"/>
      <c r="AH56" s="3"/>
    </row>
    <row r="57" spans="2:34" x14ac:dyDescent="0.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S57" s="3"/>
      <c r="T57" s="3"/>
      <c r="U57" s="3"/>
      <c r="AG57" s="3"/>
      <c r="AH57" s="3"/>
    </row>
    <row r="58" spans="2:34" x14ac:dyDescent="0.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S58" s="3"/>
      <c r="T58" s="3"/>
      <c r="U58" s="3"/>
      <c r="AG58" s="3"/>
      <c r="AH58" s="3"/>
    </row>
    <row r="59" spans="2:34" x14ac:dyDescent="0.3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S59" s="3"/>
      <c r="T59" s="3"/>
      <c r="U59" s="3"/>
      <c r="AG59" s="3"/>
      <c r="AH59" s="3"/>
    </row>
    <row r="60" spans="2:34" x14ac:dyDescent="0.3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S60" s="3"/>
      <c r="T60" s="3"/>
      <c r="U60" s="3"/>
      <c r="AG60" s="3"/>
      <c r="AH60" s="3"/>
    </row>
    <row r="61" spans="2:34" x14ac:dyDescent="0.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S61" s="3"/>
      <c r="T61" s="3"/>
      <c r="U61" s="3"/>
      <c r="AG61" s="3"/>
      <c r="AH61" s="3"/>
    </row>
    <row r="62" spans="2:34" x14ac:dyDescent="0.3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S62" s="3"/>
      <c r="T62" s="3"/>
      <c r="U62" s="3"/>
      <c r="AG62" s="3"/>
      <c r="AH62" s="3"/>
    </row>
  </sheetData>
  <mergeCells count="39">
    <mergeCell ref="AH1:AH49"/>
    <mergeCell ref="B28:C28"/>
    <mergeCell ref="B31:I31"/>
    <mergeCell ref="B4:I4"/>
    <mergeCell ref="B49:C49"/>
    <mergeCell ref="B33:B34"/>
    <mergeCell ref="C33:C34"/>
    <mergeCell ref="D33:E33"/>
    <mergeCell ref="I33:I34"/>
    <mergeCell ref="H33:H34"/>
    <mergeCell ref="G33:G34"/>
    <mergeCell ref="B12:B13"/>
    <mergeCell ref="C12:C13"/>
    <mergeCell ref="D12:F12"/>
    <mergeCell ref="G12:I12"/>
    <mergeCell ref="B10:I10"/>
    <mergeCell ref="F33:F34"/>
    <mergeCell ref="M14:N14"/>
    <mergeCell ref="M4:R4"/>
    <mergeCell ref="M1:R2"/>
    <mergeCell ref="K1:K49"/>
    <mergeCell ref="B1:I2"/>
    <mergeCell ref="M24:N24"/>
    <mergeCell ref="M17:Q17"/>
    <mergeCell ref="AB6:AC6"/>
    <mergeCell ref="AE6:AF6"/>
    <mergeCell ref="V4:Z4"/>
    <mergeCell ref="V19:Z19"/>
    <mergeCell ref="T1:T49"/>
    <mergeCell ref="AB22:AC23"/>
    <mergeCell ref="AE22:AF23"/>
    <mergeCell ref="P19:Q19"/>
    <mergeCell ref="P23:Q23"/>
    <mergeCell ref="M19:N19"/>
    <mergeCell ref="V1:AF2"/>
    <mergeCell ref="AB4:AF4"/>
    <mergeCell ref="AB19:AF19"/>
    <mergeCell ref="AB21:AC21"/>
    <mergeCell ref="AE21:AF21"/>
  </mergeCells>
  <pageMargins left="0.7" right="0.7" top="0.75" bottom="0.75" header="0.3" footer="0.3"/>
  <pageSetup scale="80" orientation="portrait" horizontalDpi="360" verticalDpi="360" r:id="rId1"/>
  <colBreaks count="2" manualBreakCount="2">
    <brk id="11" max="1048575" man="1"/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910E-0CC4-45F9-8209-A49EFD37711B}">
  <dimension ref="B1:AF62"/>
  <sheetViews>
    <sheetView topLeftCell="A21" zoomScale="85" zoomScaleNormal="85" workbookViewId="0">
      <selection activeCell="D49" sqref="D49:I49"/>
    </sheetView>
  </sheetViews>
  <sheetFormatPr baseColWidth="10" defaultRowHeight="14.4" x14ac:dyDescent="0.3"/>
  <cols>
    <col min="1" max="1" width="4" style="1" customWidth="1"/>
    <col min="2" max="2" width="11.88671875" style="1" bestFit="1" customWidth="1"/>
    <col min="3" max="3" width="9.5546875" style="1" bestFit="1" customWidth="1"/>
    <col min="4" max="4" width="10.77734375" style="1" bestFit="1" customWidth="1"/>
    <col min="5" max="5" width="11.21875" style="1" bestFit="1" customWidth="1"/>
    <col min="6" max="6" width="11.44140625" style="1" bestFit="1" customWidth="1"/>
    <col min="7" max="7" width="13.33203125" style="1" bestFit="1" customWidth="1"/>
    <col min="8" max="9" width="11.77734375" style="1" bestFit="1" customWidth="1"/>
    <col min="10" max="10" width="4" style="1" customWidth="1"/>
    <col min="11" max="11" width="2.21875" style="1" customWidth="1"/>
    <col min="12" max="12" width="4" style="1" customWidth="1"/>
    <col min="13" max="13" width="13.6640625" style="1" customWidth="1"/>
    <col min="14" max="14" width="12.44140625" style="1" customWidth="1"/>
    <col min="15" max="15" width="12.5546875" style="1" bestFit="1" customWidth="1"/>
    <col min="16" max="17" width="13.21875" style="1" customWidth="1"/>
    <col min="18" max="18" width="12.5546875" style="1" bestFit="1" customWidth="1"/>
    <col min="19" max="19" width="4" style="1" customWidth="1"/>
    <col min="20" max="20" width="2.21875" style="1" customWidth="1"/>
    <col min="21" max="21" width="4" style="1" customWidth="1"/>
    <col min="22" max="22" width="15.109375" style="1" customWidth="1"/>
    <col min="23" max="23" width="2.33203125" style="1" customWidth="1"/>
    <col min="24" max="24" width="12.5546875" style="1" bestFit="1" customWidth="1"/>
    <col min="25" max="25" width="15.6640625" style="1" customWidth="1"/>
    <col min="26" max="26" width="11.5546875" style="1"/>
    <col min="27" max="27" width="4.109375" style="1" customWidth="1"/>
    <col min="28" max="28" width="11.88671875" style="1" bestFit="1" customWidth="1"/>
    <col min="29" max="29" width="6.33203125" style="1" bestFit="1" customWidth="1"/>
    <col min="30" max="30" width="2.33203125" style="1" customWidth="1"/>
    <col min="31" max="31" width="11.77734375" style="1" bestFit="1" customWidth="1"/>
    <col min="32" max="32" width="6.33203125" style="1" bestFit="1" customWidth="1"/>
    <col min="33" max="16384" width="11.5546875" style="1"/>
  </cols>
  <sheetData>
    <row r="1" spans="2:32" x14ac:dyDescent="0.3">
      <c r="B1" s="87" t="s">
        <v>66</v>
      </c>
      <c r="C1" s="88"/>
      <c r="D1" s="88"/>
      <c r="E1" s="88"/>
      <c r="F1" s="88"/>
      <c r="G1" s="88"/>
      <c r="H1" s="88"/>
      <c r="I1" s="89"/>
      <c r="K1" s="93"/>
      <c r="M1" s="87" t="s">
        <v>31</v>
      </c>
      <c r="N1" s="88"/>
      <c r="O1" s="88"/>
      <c r="P1" s="88"/>
      <c r="Q1" s="88"/>
      <c r="R1" s="89"/>
      <c r="T1" s="93"/>
      <c r="V1" s="53" t="s">
        <v>52</v>
      </c>
      <c r="W1" s="54"/>
      <c r="X1" s="54"/>
      <c r="Y1" s="54"/>
      <c r="Z1" s="54"/>
      <c r="AA1" s="54"/>
      <c r="AB1" s="54"/>
      <c r="AC1" s="54"/>
      <c r="AD1" s="54"/>
      <c r="AE1" s="54"/>
      <c r="AF1" s="55"/>
    </row>
    <row r="2" spans="2:32" ht="15" thickBot="1" x14ac:dyDescent="0.35">
      <c r="B2" s="90"/>
      <c r="C2" s="91"/>
      <c r="D2" s="91"/>
      <c r="E2" s="91"/>
      <c r="F2" s="91"/>
      <c r="G2" s="91"/>
      <c r="H2" s="91"/>
      <c r="I2" s="92"/>
      <c r="K2" s="93"/>
      <c r="M2" s="90"/>
      <c r="N2" s="91"/>
      <c r="O2" s="91"/>
      <c r="P2" s="91"/>
      <c r="Q2" s="91"/>
      <c r="R2" s="92"/>
      <c r="T2" s="93"/>
      <c r="V2" s="56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2:32" ht="15" thickBot="1" x14ac:dyDescent="0.35">
      <c r="C3" s="3"/>
      <c r="D3" s="3"/>
      <c r="E3" s="3"/>
      <c r="F3" s="3"/>
      <c r="G3" s="3"/>
      <c r="H3" s="3"/>
      <c r="I3" s="3"/>
      <c r="J3" s="3"/>
      <c r="K3" s="93"/>
      <c r="L3" s="3"/>
      <c r="M3" s="3"/>
      <c r="S3" s="3"/>
      <c r="T3" s="93"/>
      <c r="U3" s="3"/>
    </row>
    <row r="4" spans="2:32" ht="15" thickBot="1" x14ac:dyDescent="0.35">
      <c r="B4" s="99" t="s">
        <v>23</v>
      </c>
      <c r="C4" s="100"/>
      <c r="D4" s="100"/>
      <c r="E4" s="100"/>
      <c r="F4" s="100"/>
      <c r="G4" s="100"/>
      <c r="H4" s="100"/>
      <c r="I4" s="101"/>
      <c r="J4" s="3"/>
      <c r="K4" s="93"/>
      <c r="L4" s="3"/>
      <c r="M4" s="80" t="s">
        <v>36</v>
      </c>
      <c r="N4" s="81"/>
      <c r="O4" s="81"/>
      <c r="P4" s="81"/>
      <c r="Q4" s="81"/>
      <c r="R4" s="82"/>
      <c r="S4" s="3"/>
      <c r="T4" s="93"/>
      <c r="U4" s="3"/>
      <c r="V4" s="59" t="s">
        <v>58</v>
      </c>
      <c r="W4" s="60"/>
      <c r="X4" s="60"/>
      <c r="Y4" s="60"/>
      <c r="Z4" s="61"/>
      <c r="AB4" s="59" t="s">
        <v>59</v>
      </c>
      <c r="AC4" s="60"/>
      <c r="AD4" s="60"/>
      <c r="AE4" s="60"/>
      <c r="AF4" s="61"/>
    </row>
    <row r="5" spans="2:32" ht="15" thickBot="1" x14ac:dyDescent="0.35">
      <c r="B5" s="3"/>
      <c r="C5" s="3"/>
      <c r="D5" s="3"/>
      <c r="E5" s="3"/>
      <c r="F5" s="3"/>
      <c r="G5" s="3"/>
      <c r="H5" s="3"/>
      <c r="I5" s="3"/>
      <c r="J5" s="3"/>
      <c r="K5" s="93"/>
      <c r="L5" s="3"/>
      <c r="S5" s="3"/>
      <c r="T5" s="93"/>
      <c r="U5" s="3"/>
    </row>
    <row r="6" spans="2:32" x14ac:dyDescent="0.3">
      <c r="B6" s="9" t="s">
        <v>24</v>
      </c>
      <c r="C6" s="21" t="s">
        <v>5</v>
      </c>
      <c r="D6" s="21" t="s">
        <v>2</v>
      </c>
      <c r="E6" s="21" t="s">
        <v>6</v>
      </c>
      <c r="F6" s="21" t="s">
        <v>7</v>
      </c>
      <c r="G6" s="21" t="s">
        <v>10</v>
      </c>
      <c r="H6" s="21" t="s">
        <v>8</v>
      </c>
      <c r="I6" s="22" t="s">
        <v>9</v>
      </c>
      <c r="J6" s="3"/>
      <c r="K6" s="93"/>
      <c r="L6" s="3"/>
      <c r="M6" s="9" t="s">
        <v>24</v>
      </c>
      <c r="N6" s="21" t="s">
        <v>32</v>
      </c>
      <c r="O6" s="10" t="s">
        <v>34</v>
      </c>
      <c r="P6" s="10" t="s">
        <v>35</v>
      </c>
      <c r="Q6" s="10" t="s">
        <v>33</v>
      </c>
      <c r="R6" s="27" t="s">
        <v>9</v>
      </c>
      <c r="S6" s="3"/>
      <c r="T6" s="93"/>
      <c r="U6" s="3"/>
      <c r="V6" s="9" t="s">
        <v>53</v>
      </c>
      <c r="W6" s="35"/>
      <c r="X6" s="10" t="s">
        <v>9</v>
      </c>
      <c r="Y6" s="10" t="s">
        <v>56</v>
      </c>
      <c r="Z6" s="45" t="s">
        <v>57</v>
      </c>
      <c r="AB6" s="65" t="s">
        <v>23</v>
      </c>
      <c r="AC6" s="66"/>
      <c r="AD6" s="35"/>
      <c r="AE6" s="66" t="s">
        <v>22</v>
      </c>
      <c r="AF6" s="67"/>
    </row>
    <row r="7" spans="2:32" ht="15" thickBot="1" x14ac:dyDescent="0.35">
      <c r="B7" s="23">
        <v>45945</v>
      </c>
      <c r="C7" s="17">
        <v>2</v>
      </c>
      <c r="D7" s="17">
        <v>180</v>
      </c>
      <c r="E7" s="24">
        <v>5733</v>
      </c>
      <c r="F7" s="24">
        <f>+E7/D7</f>
        <v>31.85</v>
      </c>
      <c r="G7" s="18">
        <v>12779</v>
      </c>
      <c r="H7" s="18">
        <f>+G7*F7</f>
        <v>407011.15</v>
      </c>
      <c r="I7" s="20">
        <f>+H7*D7</f>
        <v>73262007</v>
      </c>
      <c r="J7" s="3"/>
      <c r="K7" s="93"/>
      <c r="L7" s="3"/>
      <c r="M7" s="12">
        <v>45994</v>
      </c>
      <c r="N7" s="6">
        <v>1</v>
      </c>
      <c r="O7" s="6"/>
      <c r="P7" s="6">
        <f>+O7*128</f>
        <v>0</v>
      </c>
      <c r="Q7" s="8"/>
      <c r="R7" s="29">
        <f>+P7*Q7</f>
        <v>0</v>
      </c>
      <c r="S7" s="3"/>
      <c r="T7" s="93"/>
      <c r="U7" s="3"/>
      <c r="V7" s="36" t="s">
        <v>0</v>
      </c>
      <c r="X7" s="8">
        <f>+I7</f>
        <v>73262007</v>
      </c>
      <c r="Y7" s="8" t="e">
        <f>+X7/$O$14</f>
        <v>#DIV/0!</v>
      </c>
      <c r="Z7" s="14" t="e">
        <f>+Y7/$N$26</f>
        <v>#DIV/0!</v>
      </c>
      <c r="AB7" s="32">
        <f>+X7</f>
        <v>73262007</v>
      </c>
      <c r="AC7" s="42">
        <f>+AB7/$X$16</f>
        <v>0.71097770186084464</v>
      </c>
      <c r="AD7" s="3"/>
      <c r="AE7" s="8"/>
      <c r="AF7" s="43">
        <f>+AE7/$X$16</f>
        <v>0</v>
      </c>
    </row>
    <row r="8" spans="2:32" x14ac:dyDescent="0.3">
      <c r="B8" s="2"/>
      <c r="E8" s="4"/>
      <c r="F8" s="4"/>
      <c r="G8" s="3"/>
      <c r="H8" s="3"/>
      <c r="I8" s="3"/>
      <c r="J8" s="3"/>
      <c r="K8" s="93"/>
      <c r="L8" s="3"/>
      <c r="M8" s="12">
        <v>45998</v>
      </c>
      <c r="N8" s="6">
        <v>2</v>
      </c>
      <c r="O8" s="6"/>
      <c r="P8" s="6">
        <f t="shared" ref="P8:P9" si="0">+O8*128</f>
        <v>0</v>
      </c>
      <c r="Q8" s="8"/>
      <c r="R8" s="29">
        <f t="shared" ref="R8:R12" si="1">+P8*Q8</f>
        <v>0</v>
      </c>
      <c r="S8" s="3"/>
      <c r="T8" s="93"/>
      <c r="U8" s="3"/>
      <c r="V8" s="36" t="s">
        <v>1</v>
      </c>
      <c r="X8" s="8">
        <f>+F28+I28</f>
        <v>22786703.099999998</v>
      </c>
      <c r="Y8" s="8" t="e">
        <f t="shared" ref="Y8:Y14" si="2">+X8/$O$14</f>
        <v>#DIV/0!</v>
      </c>
      <c r="Z8" s="14" t="e">
        <f t="shared" ref="Z8:Z14" si="3">+Y8/$N$26</f>
        <v>#DIV/0!</v>
      </c>
      <c r="AB8" s="32"/>
      <c r="AC8" s="42">
        <f t="shared" ref="AC8:AC14" si="4">+AB8/$X$16</f>
        <v>0</v>
      </c>
      <c r="AD8" s="3"/>
      <c r="AE8" s="8">
        <f>+X8</f>
        <v>22786703.099999998</v>
      </c>
      <c r="AF8" s="43">
        <f t="shared" ref="AF8:AF14" si="5">+AE8/$X$16</f>
        <v>0.22113559901550858</v>
      </c>
    </row>
    <row r="9" spans="2:32" ht="15" thickBot="1" x14ac:dyDescent="0.35">
      <c r="C9" s="3"/>
      <c r="D9" s="3"/>
      <c r="E9" s="3"/>
      <c r="F9" s="3"/>
      <c r="G9" s="3"/>
      <c r="H9" s="3"/>
      <c r="I9" s="3"/>
      <c r="J9" s="3"/>
      <c r="K9" s="93"/>
      <c r="L9" s="3"/>
      <c r="M9" s="12">
        <v>46001</v>
      </c>
      <c r="N9" s="6">
        <v>3</v>
      </c>
      <c r="O9" s="6"/>
      <c r="P9" s="6">
        <f t="shared" si="0"/>
        <v>0</v>
      </c>
      <c r="Q9" s="8"/>
      <c r="R9" s="29">
        <f t="shared" si="1"/>
        <v>0</v>
      </c>
      <c r="S9" s="3"/>
      <c r="T9" s="93"/>
      <c r="U9" s="3"/>
      <c r="V9" s="36" t="s">
        <v>55</v>
      </c>
      <c r="X9" s="8">
        <f>+D49</f>
        <v>1700000</v>
      </c>
      <c r="Y9" s="8" t="e">
        <f t="shared" si="2"/>
        <v>#DIV/0!</v>
      </c>
      <c r="Z9" s="14" t="e">
        <f t="shared" si="3"/>
        <v>#DIV/0!</v>
      </c>
      <c r="AB9" s="32">
        <f>+X9/2</f>
        <v>850000</v>
      </c>
      <c r="AC9" s="42">
        <f t="shared" si="4"/>
        <v>8.2489010515602989E-3</v>
      </c>
      <c r="AD9" s="3"/>
      <c r="AE9" s="8">
        <f>+X9/2</f>
        <v>850000</v>
      </c>
      <c r="AF9" s="43">
        <f t="shared" si="5"/>
        <v>8.2489010515602989E-3</v>
      </c>
    </row>
    <row r="10" spans="2:32" ht="15" thickBot="1" x14ac:dyDescent="0.35">
      <c r="B10" s="96" t="s">
        <v>22</v>
      </c>
      <c r="C10" s="97"/>
      <c r="D10" s="97"/>
      <c r="E10" s="97"/>
      <c r="F10" s="97"/>
      <c r="G10" s="97"/>
      <c r="H10" s="97"/>
      <c r="I10" s="98"/>
      <c r="K10" s="93"/>
      <c r="M10" s="28"/>
      <c r="N10" s="6">
        <v>4</v>
      </c>
      <c r="O10" s="8"/>
      <c r="P10" s="6"/>
      <c r="Q10" s="8"/>
      <c r="R10" s="29">
        <f t="shared" si="1"/>
        <v>0</v>
      </c>
      <c r="T10" s="93"/>
      <c r="V10" s="36" t="s">
        <v>54</v>
      </c>
      <c r="X10" s="8">
        <f>+E49</f>
        <v>931600</v>
      </c>
      <c r="Y10" s="8" t="e">
        <f t="shared" si="2"/>
        <v>#DIV/0!</v>
      </c>
      <c r="Z10" s="14" t="e">
        <f t="shared" si="3"/>
        <v>#DIV/0!</v>
      </c>
      <c r="AB10" s="32">
        <f t="shared" ref="AB10:AB14" si="6">+X10/2</f>
        <v>465800</v>
      </c>
      <c r="AC10" s="42">
        <f t="shared" si="4"/>
        <v>4.5203977762550435E-3</v>
      </c>
      <c r="AD10" s="3"/>
      <c r="AE10" s="8">
        <f t="shared" ref="AE10:AE14" si="7">+X10/2</f>
        <v>465800</v>
      </c>
      <c r="AF10" s="43">
        <f t="shared" si="5"/>
        <v>4.5203977762550435E-3</v>
      </c>
    </row>
    <row r="11" spans="2:32" ht="15" thickBot="1" x14ac:dyDescent="0.35">
      <c r="K11" s="93"/>
      <c r="M11" s="32"/>
      <c r="N11" s="6">
        <v>5</v>
      </c>
      <c r="O11" s="6"/>
      <c r="P11" s="6"/>
      <c r="Q11" s="8"/>
      <c r="R11" s="29">
        <f t="shared" si="1"/>
        <v>0</v>
      </c>
      <c r="T11" s="93"/>
      <c r="V11" s="36" t="s">
        <v>12</v>
      </c>
      <c r="X11" s="8">
        <f>+F49</f>
        <v>2275000</v>
      </c>
      <c r="Y11" s="8" t="e">
        <f t="shared" si="2"/>
        <v>#DIV/0!</v>
      </c>
      <c r="Z11" s="14" t="e">
        <f t="shared" si="3"/>
        <v>#DIV/0!</v>
      </c>
      <c r="AB11" s="32">
        <f t="shared" si="6"/>
        <v>1137500</v>
      </c>
      <c r="AC11" s="42">
        <f t="shared" si="4"/>
        <v>1.1038970524882164E-2</v>
      </c>
      <c r="AD11" s="3"/>
      <c r="AE11" s="8">
        <f t="shared" si="7"/>
        <v>1137500</v>
      </c>
      <c r="AF11" s="43">
        <f t="shared" si="5"/>
        <v>1.1038970524882164E-2</v>
      </c>
    </row>
    <row r="12" spans="2:32" x14ac:dyDescent="0.3">
      <c r="B12" s="102" t="s">
        <v>17</v>
      </c>
      <c r="C12" s="104" t="s">
        <v>18</v>
      </c>
      <c r="D12" s="108" t="s">
        <v>19</v>
      </c>
      <c r="E12" s="108"/>
      <c r="F12" s="108"/>
      <c r="G12" s="109" t="s">
        <v>21</v>
      </c>
      <c r="H12" s="109"/>
      <c r="I12" s="110"/>
      <c r="K12" s="93"/>
      <c r="M12" s="28"/>
      <c r="N12" s="6">
        <v>6</v>
      </c>
      <c r="O12" s="6"/>
      <c r="P12" s="6"/>
      <c r="Q12" s="8"/>
      <c r="R12" s="29">
        <f t="shared" si="1"/>
        <v>0</v>
      </c>
      <c r="T12" s="93"/>
      <c r="V12" s="36" t="s">
        <v>13</v>
      </c>
      <c r="X12" s="8">
        <f>+G49</f>
        <v>698319</v>
      </c>
      <c r="Y12" s="8" t="e">
        <f t="shared" si="2"/>
        <v>#DIV/0!</v>
      </c>
      <c r="Z12" s="14" t="e">
        <f t="shared" si="3"/>
        <v>#DIV/0!</v>
      </c>
      <c r="AB12" s="32">
        <f t="shared" si="6"/>
        <v>349159.5</v>
      </c>
      <c r="AC12" s="42">
        <f t="shared" si="4"/>
        <v>3.3884496078967863E-3</v>
      </c>
      <c r="AD12" s="3"/>
      <c r="AE12" s="8">
        <f t="shared" si="7"/>
        <v>349159.5</v>
      </c>
      <c r="AF12" s="43">
        <f t="shared" si="5"/>
        <v>3.3884496078967863E-3</v>
      </c>
    </row>
    <row r="13" spans="2:32" x14ac:dyDescent="0.3">
      <c r="B13" s="103"/>
      <c r="C13" s="105"/>
      <c r="D13" s="5" t="s">
        <v>2</v>
      </c>
      <c r="E13" s="5" t="s">
        <v>3</v>
      </c>
      <c r="F13" s="5" t="s">
        <v>4</v>
      </c>
      <c r="G13" s="5" t="s">
        <v>2</v>
      </c>
      <c r="H13" s="5" t="s">
        <v>3</v>
      </c>
      <c r="I13" s="11" t="s">
        <v>4</v>
      </c>
      <c r="K13" s="93"/>
      <c r="M13" s="15"/>
      <c r="R13" s="16"/>
      <c r="T13" s="93"/>
      <c r="V13" s="36" t="s">
        <v>15</v>
      </c>
      <c r="X13" s="8">
        <f>+H49</f>
        <v>764600</v>
      </c>
      <c r="Y13" s="8" t="e">
        <f t="shared" si="2"/>
        <v>#DIV/0!</v>
      </c>
      <c r="Z13" s="14" t="e">
        <f t="shared" si="3"/>
        <v>#DIV/0!</v>
      </c>
      <c r="AB13" s="32">
        <f t="shared" si="6"/>
        <v>382300</v>
      </c>
      <c r="AC13" s="42">
        <f t="shared" si="4"/>
        <v>3.7100645553076496E-3</v>
      </c>
      <c r="AD13" s="3"/>
      <c r="AE13" s="8">
        <f t="shared" si="7"/>
        <v>382300</v>
      </c>
      <c r="AF13" s="43">
        <f t="shared" si="5"/>
        <v>3.7100645553076496E-3</v>
      </c>
    </row>
    <row r="14" spans="2:32" ht="15" thickBot="1" x14ac:dyDescent="0.35">
      <c r="B14" s="12">
        <f>+B7</f>
        <v>45945</v>
      </c>
      <c r="C14" s="6">
        <v>1</v>
      </c>
      <c r="D14" s="6">
        <v>45</v>
      </c>
      <c r="E14" s="8">
        <f>77650*105%</f>
        <v>81532.5</v>
      </c>
      <c r="F14" s="8">
        <f t="shared" ref="F14:F19" si="8">(E14*D14)*102%</f>
        <v>3742341.75</v>
      </c>
      <c r="G14" s="6"/>
      <c r="H14" s="6"/>
      <c r="I14" s="13"/>
      <c r="K14" s="93"/>
      <c r="M14" s="85" t="s">
        <v>20</v>
      </c>
      <c r="N14" s="86"/>
      <c r="O14" s="17">
        <f>SUM(O7:O10)</f>
        <v>0</v>
      </c>
      <c r="P14" s="17">
        <f>SUM(P7:P10)</f>
        <v>0</v>
      </c>
      <c r="Q14" s="18" t="e">
        <f>+R14/P14</f>
        <v>#DIV/0!</v>
      </c>
      <c r="R14" s="31">
        <f>SUM(R7:R12)</f>
        <v>0</v>
      </c>
      <c r="T14" s="93"/>
      <c r="V14" s="36" t="s">
        <v>11</v>
      </c>
      <c r="X14" s="8">
        <f>+I49</f>
        <v>625800</v>
      </c>
      <c r="Y14" s="8" t="e">
        <f t="shared" si="2"/>
        <v>#DIV/0!</v>
      </c>
      <c r="Z14" s="14" t="e">
        <f t="shared" si="3"/>
        <v>#DIV/0!</v>
      </c>
      <c r="AB14" s="32">
        <f t="shared" si="6"/>
        <v>312900</v>
      </c>
      <c r="AC14" s="42">
        <f t="shared" si="4"/>
        <v>3.0365660459214325E-3</v>
      </c>
      <c r="AD14" s="3"/>
      <c r="AE14" s="8">
        <f t="shared" si="7"/>
        <v>312900</v>
      </c>
      <c r="AF14" s="43">
        <f t="shared" si="5"/>
        <v>3.0365660459214325E-3</v>
      </c>
    </row>
    <row r="15" spans="2:32" x14ac:dyDescent="0.3">
      <c r="B15" s="12">
        <f>+B14+7</f>
        <v>45952</v>
      </c>
      <c r="C15" s="6">
        <f>+C14+1</f>
        <v>2</v>
      </c>
      <c r="D15" s="6">
        <v>45</v>
      </c>
      <c r="E15" s="8">
        <f t="shared" ref="E15:E18" si="9">77650*105%</f>
        <v>81532.5</v>
      </c>
      <c r="F15" s="8">
        <f t="shared" si="8"/>
        <v>3742341.75</v>
      </c>
      <c r="G15" s="6"/>
      <c r="H15" s="6"/>
      <c r="I15" s="13"/>
      <c r="K15" s="93"/>
      <c r="T15" s="93"/>
      <c r="V15" s="15"/>
      <c r="Z15" s="16"/>
      <c r="AB15" s="15"/>
      <c r="AF15" s="16"/>
    </row>
    <row r="16" spans="2:32" ht="15" thickBot="1" x14ac:dyDescent="0.35">
      <c r="B16" s="12">
        <f t="shared" ref="B16:B26" si="10">+B15+7</f>
        <v>45959</v>
      </c>
      <c r="C16" s="6">
        <f t="shared" ref="C16:C26" si="11">+C15+1</f>
        <v>3</v>
      </c>
      <c r="D16" s="6">
        <v>54</v>
      </c>
      <c r="E16" s="8">
        <f t="shared" si="9"/>
        <v>81532.5</v>
      </c>
      <c r="F16" s="8">
        <f t="shared" si="8"/>
        <v>4490810.0999999996</v>
      </c>
      <c r="G16" s="6"/>
      <c r="H16" s="6"/>
      <c r="I16" s="13"/>
      <c r="K16" s="93"/>
      <c r="T16" s="93"/>
      <c r="V16" s="46" t="s">
        <v>20</v>
      </c>
      <c r="W16" s="39"/>
      <c r="X16" s="47">
        <f>SUM(X7:X15)</f>
        <v>103044029.09999999</v>
      </c>
      <c r="Y16" s="47" t="e">
        <f>SUM(Y7:Y15)</f>
        <v>#DIV/0!</v>
      </c>
      <c r="Z16" s="48" t="e">
        <f>SUM(Z7:Z14)</f>
        <v>#DIV/0!</v>
      </c>
      <c r="AB16" s="49">
        <f>SUM(AB7:AB14)</f>
        <v>76759666.5</v>
      </c>
      <c r="AC16" s="50">
        <f>SUM(AC7:AC14)</f>
        <v>0.74492105142266785</v>
      </c>
      <c r="AD16" s="39"/>
      <c r="AE16" s="47">
        <f>SUM(AE7:AE14)</f>
        <v>26284362.599999998</v>
      </c>
      <c r="AF16" s="51">
        <f>SUM(AF7:AF14)</f>
        <v>0.25507894857733199</v>
      </c>
    </row>
    <row r="17" spans="2:32" ht="15" thickBot="1" x14ac:dyDescent="0.35">
      <c r="B17" s="12">
        <f t="shared" si="10"/>
        <v>45966</v>
      </c>
      <c r="C17" s="6">
        <f t="shared" si="11"/>
        <v>4</v>
      </c>
      <c r="D17" s="6">
        <v>67</v>
      </c>
      <c r="E17" s="8">
        <f t="shared" si="9"/>
        <v>81532.5</v>
      </c>
      <c r="F17" s="8">
        <f t="shared" si="8"/>
        <v>5571931.0499999998</v>
      </c>
      <c r="G17" s="6"/>
      <c r="H17" s="6"/>
      <c r="I17" s="13"/>
      <c r="K17" s="93"/>
      <c r="M17" s="80" t="s">
        <v>31</v>
      </c>
      <c r="N17" s="81"/>
      <c r="O17" s="81"/>
      <c r="P17" s="81"/>
      <c r="Q17" s="82"/>
      <c r="T17" s="93"/>
    </row>
    <row r="18" spans="2:32" ht="15" thickBot="1" x14ac:dyDescent="0.35">
      <c r="B18" s="12">
        <f t="shared" si="10"/>
        <v>45973</v>
      </c>
      <c r="C18" s="6">
        <f t="shared" si="11"/>
        <v>5</v>
      </c>
      <c r="D18" s="6">
        <v>63</v>
      </c>
      <c r="E18" s="8">
        <f t="shared" si="9"/>
        <v>81532.5</v>
      </c>
      <c r="F18" s="8">
        <f t="shared" si="8"/>
        <v>5239278.45</v>
      </c>
      <c r="G18" s="6"/>
      <c r="H18" s="6"/>
      <c r="I18" s="13"/>
      <c r="K18" s="93"/>
      <c r="T18" s="93"/>
    </row>
    <row r="19" spans="2:32" ht="15" thickBot="1" x14ac:dyDescent="0.35">
      <c r="B19" s="12">
        <f t="shared" si="10"/>
        <v>45980</v>
      </c>
      <c r="C19" s="6">
        <f t="shared" si="11"/>
        <v>6</v>
      </c>
      <c r="D19" s="6"/>
      <c r="E19" s="8"/>
      <c r="F19" s="8">
        <f t="shared" si="8"/>
        <v>0</v>
      </c>
      <c r="G19" s="6"/>
      <c r="H19" s="6"/>
      <c r="I19" s="13"/>
      <c r="K19" s="93"/>
      <c r="M19" s="78" t="s">
        <v>50</v>
      </c>
      <c r="N19" s="74"/>
      <c r="O19" s="35"/>
      <c r="P19" s="74" t="s">
        <v>48</v>
      </c>
      <c r="Q19" s="75"/>
      <c r="T19" s="93"/>
      <c r="V19" s="59" t="s">
        <v>60</v>
      </c>
      <c r="W19" s="60"/>
      <c r="X19" s="60"/>
      <c r="Y19" s="60"/>
      <c r="Z19" s="61"/>
      <c r="AB19" s="62" t="s">
        <v>65</v>
      </c>
      <c r="AC19" s="63"/>
      <c r="AD19" s="63"/>
      <c r="AE19" s="63"/>
      <c r="AF19" s="64"/>
    </row>
    <row r="20" spans="2:32" ht="15" thickBot="1" x14ac:dyDescent="0.35">
      <c r="B20" s="12">
        <f t="shared" si="10"/>
        <v>45987</v>
      </c>
      <c r="C20" s="6">
        <f t="shared" si="11"/>
        <v>7</v>
      </c>
      <c r="D20" s="6"/>
      <c r="E20" s="8"/>
      <c r="F20" s="8"/>
      <c r="G20" s="6"/>
      <c r="H20" s="8"/>
      <c r="I20" s="14"/>
      <c r="K20" s="93"/>
      <c r="M20" s="36" t="s">
        <v>14</v>
      </c>
      <c r="N20" s="6">
        <f>+D7</f>
        <v>180</v>
      </c>
      <c r="P20" s="33" t="s">
        <v>40</v>
      </c>
      <c r="Q20" s="13">
        <f>+(D28+G28)*40</f>
        <v>10960</v>
      </c>
      <c r="T20" s="93"/>
    </row>
    <row r="21" spans="2:32" x14ac:dyDescent="0.3">
      <c r="B21" s="12">
        <f t="shared" si="10"/>
        <v>45994</v>
      </c>
      <c r="C21" s="6">
        <f t="shared" si="11"/>
        <v>8</v>
      </c>
      <c r="D21" s="6"/>
      <c r="E21" s="8"/>
      <c r="F21" s="8"/>
      <c r="G21" s="6"/>
      <c r="H21" s="8"/>
      <c r="I21" s="14"/>
      <c r="K21" s="93"/>
      <c r="M21" s="36" t="s">
        <v>37</v>
      </c>
      <c r="N21" s="7">
        <f>+F7</f>
        <v>31.85</v>
      </c>
      <c r="P21" s="33" t="s">
        <v>39</v>
      </c>
      <c r="Q21" s="37">
        <f>+Q20/N25</f>
        <v>61.229050279329606</v>
      </c>
      <c r="T21" s="93"/>
      <c r="V21" s="9" t="s">
        <v>53</v>
      </c>
      <c r="W21" s="35"/>
      <c r="X21" s="10" t="s">
        <v>9</v>
      </c>
      <c r="Y21" s="10" t="s">
        <v>63</v>
      </c>
      <c r="Z21" s="45" t="s">
        <v>62</v>
      </c>
      <c r="AB21" s="65" t="s">
        <v>23</v>
      </c>
      <c r="AC21" s="66"/>
      <c r="AD21" s="35"/>
      <c r="AE21" s="66" t="s">
        <v>22</v>
      </c>
      <c r="AF21" s="67"/>
    </row>
    <row r="22" spans="2:32" x14ac:dyDescent="0.3">
      <c r="B22" s="12">
        <f t="shared" si="10"/>
        <v>46001</v>
      </c>
      <c r="C22" s="6">
        <f t="shared" si="11"/>
        <v>9</v>
      </c>
      <c r="D22" s="6"/>
      <c r="E22" s="8"/>
      <c r="F22" s="8"/>
      <c r="G22" s="6"/>
      <c r="H22" s="8"/>
      <c r="I22" s="14"/>
      <c r="K22" s="93"/>
      <c r="M22" s="36" t="s">
        <v>38</v>
      </c>
      <c r="N22" s="6">
        <f>+N20*N21</f>
        <v>5733</v>
      </c>
      <c r="Q22" s="16"/>
      <c r="T22" s="93"/>
      <c r="V22" s="36" t="s">
        <v>61</v>
      </c>
      <c r="X22" s="8">
        <f>+R14</f>
        <v>0</v>
      </c>
      <c r="Y22" s="8" t="e">
        <f>+X22/O14</f>
        <v>#DIV/0!</v>
      </c>
      <c r="Z22" s="14" t="e">
        <f>+Y22/N26</f>
        <v>#DIV/0!</v>
      </c>
      <c r="AB22" s="68">
        <f>+X23*AC16</f>
        <v>-76759666.49999997</v>
      </c>
      <c r="AC22" s="69"/>
      <c r="AE22" s="69">
        <f>+X23*AF16</f>
        <v>-26284362.599999998</v>
      </c>
      <c r="AF22" s="72"/>
    </row>
    <row r="23" spans="2:32" ht="15" thickBot="1" x14ac:dyDescent="0.35">
      <c r="B23" s="12">
        <f t="shared" si="10"/>
        <v>46008</v>
      </c>
      <c r="C23" s="6">
        <f t="shared" si="11"/>
        <v>10</v>
      </c>
      <c r="D23" s="6"/>
      <c r="E23" s="8"/>
      <c r="F23" s="8"/>
      <c r="G23" s="6"/>
      <c r="H23" s="8"/>
      <c r="I23" s="14"/>
      <c r="J23" s="3"/>
      <c r="K23" s="93"/>
      <c r="L23" s="3"/>
      <c r="M23" s="15"/>
      <c r="P23" s="76" t="s">
        <v>49</v>
      </c>
      <c r="Q23" s="77"/>
      <c r="S23" s="3"/>
      <c r="T23" s="93"/>
      <c r="U23" s="3"/>
      <c r="V23" s="44" t="s">
        <v>64</v>
      </c>
      <c r="W23" s="39"/>
      <c r="X23" s="18">
        <f>+X22-X16</f>
        <v>-103044029.09999999</v>
      </c>
      <c r="Y23" s="18" t="e">
        <f>+Y22-Y16</f>
        <v>#DIV/0!</v>
      </c>
      <c r="Z23" s="52" t="e">
        <f>+Z22-Z16</f>
        <v>#DIV/0!</v>
      </c>
      <c r="AB23" s="70"/>
      <c r="AC23" s="71"/>
      <c r="AD23" s="39"/>
      <c r="AE23" s="71"/>
      <c r="AF23" s="73"/>
    </row>
    <row r="24" spans="2:32" x14ac:dyDescent="0.3">
      <c r="B24" s="12">
        <f t="shared" si="10"/>
        <v>46015</v>
      </c>
      <c r="C24" s="6">
        <f t="shared" si="11"/>
        <v>11</v>
      </c>
      <c r="D24" s="6"/>
      <c r="E24" s="8"/>
      <c r="F24" s="8"/>
      <c r="G24" s="6"/>
      <c r="H24" s="8"/>
      <c r="I24" s="14"/>
      <c r="J24" s="3"/>
      <c r="K24" s="93"/>
      <c r="L24" s="3"/>
      <c r="M24" s="79" t="s">
        <v>51</v>
      </c>
      <c r="N24" s="76"/>
      <c r="P24" s="33" t="s">
        <v>43</v>
      </c>
      <c r="Q24" s="37">
        <f>+N27-N22</f>
        <v>-5733</v>
      </c>
      <c r="S24" s="3"/>
      <c r="T24" s="93"/>
      <c r="U24" s="3"/>
    </row>
    <row r="25" spans="2:32" x14ac:dyDescent="0.3">
      <c r="B25" s="12">
        <f t="shared" si="10"/>
        <v>46022</v>
      </c>
      <c r="C25" s="6">
        <f t="shared" si="11"/>
        <v>12</v>
      </c>
      <c r="D25" s="6"/>
      <c r="E25" s="8"/>
      <c r="F25" s="8"/>
      <c r="G25" s="6"/>
      <c r="H25" s="8"/>
      <c r="I25" s="14"/>
      <c r="J25" s="3"/>
      <c r="K25" s="93"/>
      <c r="L25" s="3"/>
      <c r="M25" s="36" t="s">
        <v>14</v>
      </c>
      <c r="N25" s="6">
        <v>179</v>
      </c>
      <c r="P25" s="33" t="s">
        <v>44</v>
      </c>
      <c r="Q25" s="37">
        <f>+Q24/N25</f>
        <v>-32.027932960893857</v>
      </c>
      <c r="S25" s="3"/>
      <c r="T25" s="93"/>
      <c r="U25" s="3"/>
    </row>
    <row r="26" spans="2:32" x14ac:dyDescent="0.3">
      <c r="B26" s="12">
        <f t="shared" si="10"/>
        <v>46029</v>
      </c>
      <c r="C26" s="6">
        <f t="shared" si="11"/>
        <v>13</v>
      </c>
      <c r="D26" s="6"/>
      <c r="E26" s="8"/>
      <c r="F26" s="6"/>
      <c r="G26" s="6"/>
      <c r="H26" s="8"/>
      <c r="I26" s="14"/>
      <c r="J26" s="3"/>
      <c r="K26" s="93"/>
      <c r="L26" s="3"/>
      <c r="M26" s="36" t="s">
        <v>37</v>
      </c>
      <c r="N26" s="6">
        <f>+P14/N25</f>
        <v>0</v>
      </c>
      <c r="P26" s="33" t="s">
        <v>45</v>
      </c>
      <c r="Q26" s="37" t="e">
        <f>+Q25/Q29</f>
        <v>#DIV/0!</v>
      </c>
      <c r="S26" s="3"/>
      <c r="T26" s="93"/>
      <c r="U26" s="3"/>
    </row>
    <row r="27" spans="2:32" x14ac:dyDescent="0.3">
      <c r="B27" s="15"/>
      <c r="C27" s="3"/>
      <c r="E27" s="3"/>
      <c r="I27" s="16"/>
      <c r="J27" s="3"/>
      <c r="K27" s="93"/>
      <c r="L27" s="3"/>
      <c r="M27" s="36" t="s">
        <v>38</v>
      </c>
      <c r="N27" s="34">
        <f>+P14</f>
        <v>0</v>
      </c>
      <c r="P27" s="33" t="s">
        <v>46</v>
      </c>
      <c r="Q27" s="37">
        <f>+Q21/Q25</f>
        <v>-1.9117390545961972</v>
      </c>
      <c r="S27" s="3"/>
      <c r="T27" s="93"/>
      <c r="U27" s="3"/>
    </row>
    <row r="28" spans="2:32" ht="15" thickBot="1" x14ac:dyDescent="0.35">
      <c r="B28" s="94" t="s">
        <v>20</v>
      </c>
      <c r="C28" s="95"/>
      <c r="D28" s="17">
        <f>SUM(D14:D27)</f>
        <v>274</v>
      </c>
      <c r="E28" s="18">
        <f>+AVERAGE(E14:E26)</f>
        <v>81532.5</v>
      </c>
      <c r="F28" s="19">
        <f>SUM(F14:F25)</f>
        <v>22786703.099999998</v>
      </c>
      <c r="G28" s="17">
        <f>SUM(G14:G27)</f>
        <v>0</v>
      </c>
      <c r="H28" s="18" t="e">
        <f>+AVERAGE(H14:H26)</f>
        <v>#DIV/0!</v>
      </c>
      <c r="I28" s="20">
        <f>SUM(I14:I25)</f>
        <v>0</v>
      </c>
      <c r="J28" s="3"/>
      <c r="K28" s="93"/>
      <c r="L28" s="3"/>
      <c r="M28" s="30"/>
      <c r="N28" s="3"/>
      <c r="Q28" s="16"/>
      <c r="S28" s="3"/>
      <c r="T28" s="93"/>
      <c r="U28" s="3"/>
    </row>
    <row r="29" spans="2:32" x14ac:dyDescent="0.3">
      <c r="C29" s="3"/>
      <c r="D29" s="3"/>
      <c r="E29" s="3"/>
      <c r="F29" s="3"/>
      <c r="G29" s="3"/>
      <c r="H29" s="3"/>
      <c r="I29" s="3"/>
      <c r="J29" s="3"/>
      <c r="K29" s="93"/>
      <c r="L29" s="3"/>
      <c r="M29" s="15"/>
      <c r="P29" s="33" t="s">
        <v>41</v>
      </c>
      <c r="Q29" s="37" t="e">
        <f>+(IF(M7="",0,(M7-B7)*O7)+IF(M8="",0,(M8-B7)*O8)+IF(M9="",0,(M9-B7)*O9)+IF(M10="",0,(M10-B7)*O10)+IF(M11="",0,(M11-B7)*O11)+IF(M12="",0,(M12-B7)*O12))/O14</f>
        <v>#DIV/0!</v>
      </c>
      <c r="S29" s="3"/>
      <c r="T29" s="93"/>
      <c r="U29" s="3"/>
    </row>
    <row r="30" spans="2:32" ht="15" thickBot="1" x14ac:dyDescent="0.35">
      <c r="C30" s="3"/>
      <c r="D30" s="3"/>
      <c r="E30" s="3"/>
      <c r="F30" s="3"/>
      <c r="G30" s="3"/>
      <c r="H30" s="3"/>
      <c r="I30" s="3"/>
      <c r="J30" s="3"/>
      <c r="K30" s="93"/>
      <c r="L30" s="3"/>
      <c r="M30" s="15"/>
      <c r="P30" s="33" t="s">
        <v>42</v>
      </c>
      <c r="Q30" s="13">
        <f>+N20-N25</f>
        <v>1</v>
      </c>
      <c r="S30" s="3"/>
      <c r="T30" s="93"/>
      <c r="U30" s="3"/>
    </row>
    <row r="31" spans="2:32" ht="15" thickBot="1" x14ac:dyDescent="0.35">
      <c r="B31" s="96" t="s">
        <v>25</v>
      </c>
      <c r="C31" s="97"/>
      <c r="D31" s="97"/>
      <c r="E31" s="97"/>
      <c r="F31" s="97"/>
      <c r="G31" s="97"/>
      <c r="H31" s="97"/>
      <c r="I31" s="98"/>
      <c r="J31" s="3"/>
      <c r="K31" s="93"/>
      <c r="L31" s="3"/>
      <c r="M31" s="38"/>
      <c r="N31" s="39"/>
      <c r="O31" s="39"/>
      <c r="P31" s="40" t="s">
        <v>47</v>
      </c>
      <c r="Q31" s="41">
        <f>+Q30/N20</f>
        <v>5.5555555555555558E-3</v>
      </c>
      <c r="S31" s="3"/>
      <c r="T31" s="93"/>
      <c r="U31" s="3"/>
    </row>
    <row r="32" spans="2:32" ht="15" thickBot="1" x14ac:dyDescent="0.35">
      <c r="C32" s="3"/>
      <c r="D32" s="3"/>
      <c r="E32" s="3"/>
      <c r="F32" s="3"/>
      <c r="G32" s="3"/>
      <c r="H32" s="3"/>
      <c r="I32" s="3"/>
      <c r="J32" s="3"/>
      <c r="K32" s="93"/>
      <c r="L32" s="3"/>
      <c r="S32" s="3"/>
      <c r="T32" s="93"/>
      <c r="U32" s="3"/>
    </row>
    <row r="33" spans="2:21" x14ac:dyDescent="0.3">
      <c r="B33" s="102" t="s">
        <v>17</v>
      </c>
      <c r="C33" s="104" t="s">
        <v>18</v>
      </c>
      <c r="D33" s="83" t="s">
        <v>26</v>
      </c>
      <c r="E33" s="83"/>
      <c r="F33" s="83" t="s">
        <v>27</v>
      </c>
      <c r="G33" s="83" t="s">
        <v>28</v>
      </c>
      <c r="H33" s="104" t="s">
        <v>29</v>
      </c>
      <c r="I33" s="106" t="s">
        <v>25</v>
      </c>
      <c r="J33" s="3"/>
      <c r="K33" s="93"/>
      <c r="L33" s="3"/>
      <c r="S33" s="3"/>
      <c r="T33" s="93"/>
      <c r="U33" s="3"/>
    </row>
    <row r="34" spans="2:21" x14ac:dyDescent="0.3">
      <c r="B34" s="103"/>
      <c r="C34" s="105"/>
      <c r="D34" s="25" t="s">
        <v>14</v>
      </c>
      <c r="E34" s="25" t="s">
        <v>1</v>
      </c>
      <c r="F34" s="84"/>
      <c r="G34" s="84"/>
      <c r="H34" s="105"/>
      <c r="I34" s="107"/>
      <c r="J34" s="3"/>
      <c r="K34" s="93"/>
      <c r="L34" s="3"/>
      <c r="S34" s="3"/>
      <c r="T34" s="93"/>
      <c r="U34" s="3"/>
    </row>
    <row r="35" spans="2:21" x14ac:dyDescent="0.3">
      <c r="B35" s="12">
        <f t="shared" ref="B35:B47" si="12">+B14</f>
        <v>45945</v>
      </c>
      <c r="C35" s="6">
        <v>1</v>
      </c>
      <c r="D35" s="8">
        <f>850000+850000</f>
        <v>1700000</v>
      </c>
      <c r="E35" s="8">
        <f>+(680000/200)*(D14+G14)</f>
        <v>153000</v>
      </c>
      <c r="F35" s="8">
        <f>1750000/2</f>
        <v>875000</v>
      </c>
      <c r="G35" s="8"/>
      <c r="H35" s="8"/>
      <c r="I35" s="14"/>
      <c r="J35" s="3"/>
      <c r="K35" s="93"/>
      <c r="L35" s="3"/>
      <c r="S35" s="3"/>
      <c r="T35" s="93"/>
      <c r="U35" s="3"/>
    </row>
    <row r="36" spans="2:21" x14ac:dyDescent="0.3">
      <c r="B36" s="12">
        <f t="shared" si="12"/>
        <v>45952</v>
      </c>
      <c r="C36" s="6">
        <f>+C35+1</f>
        <v>2</v>
      </c>
      <c r="D36" s="8"/>
      <c r="E36" s="8">
        <f t="shared" ref="E36:E47" si="13">+(680000/200)*(D15+G15)</f>
        <v>153000</v>
      </c>
      <c r="F36" s="8"/>
      <c r="G36" s="8"/>
      <c r="H36" s="8"/>
      <c r="I36" s="14"/>
      <c r="J36" s="3"/>
      <c r="K36" s="93"/>
      <c r="L36" s="3"/>
      <c r="S36" s="3"/>
      <c r="T36" s="93"/>
      <c r="U36" s="3"/>
    </row>
    <row r="37" spans="2:21" x14ac:dyDescent="0.3">
      <c r="B37" s="12">
        <f t="shared" si="12"/>
        <v>45959</v>
      </c>
      <c r="C37" s="6">
        <f t="shared" ref="C37:C47" si="14">+C36+1</f>
        <v>3</v>
      </c>
      <c r="D37" s="8"/>
      <c r="E37" s="8">
        <f t="shared" si="13"/>
        <v>183600</v>
      </c>
      <c r="F37" s="8"/>
      <c r="G37" s="8">
        <f>+(2793276/4)</f>
        <v>698319</v>
      </c>
      <c r="H37" s="8"/>
      <c r="I37" s="14">
        <f>+(2503200/4)</f>
        <v>625800</v>
      </c>
      <c r="J37" s="3"/>
      <c r="K37" s="93"/>
      <c r="L37" s="3"/>
      <c r="S37" s="3"/>
      <c r="T37" s="93"/>
      <c r="U37" s="3"/>
    </row>
    <row r="38" spans="2:21" x14ac:dyDescent="0.3">
      <c r="B38" s="12">
        <f t="shared" si="12"/>
        <v>45966</v>
      </c>
      <c r="C38" s="6">
        <f t="shared" si="14"/>
        <v>4</v>
      </c>
      <c r="D38" s="8"/>
      <c r="E38" s="8">
        <f t="shared" si="13"/>
        <v>227800</v>
      </c>
      <c r="F38" s="8"/>
      <c r="G38" s="8"/>
      <c r="H38" s="8"/>
      <c r="I38" s="14"/>
      <c r="J38" s="3"/>
      <c r="K38" s="93"/>
      <c r="M38" s="3"/>
      <c r="S38" s="3"/>
      <c r="T38" s="93"/>
    </row>
    <row r="39" spans="2:21" x14ac:dyDescent="0.3">
      <c r="B39" s="12">
        <f t="shared" si="12"/>
        <v>45973</v>
      </c>
      <c r="C39" s="6">
        <f t="shared" si="14"/>
        <v>5</v>
      </c>
      <c r="D39" s="8"/>
      <c r="E39" s="8">
        <f t="shared" si="13"/>
        <v>214200</v>
      </c>
      <c r="F39" s="8"/>
      <c r="G39" s="8"/>
      <c r="H39" s="8">
        <v>764600</v>
      </c>
      <c r="I39" s="14"/>
      <c r="J39" s="3"/>
      <c r="K39" s="93"/>
      <c r="L39" s="3"/>
      <c r="M39" s="3"/>
      <c r="S39" s="3"/>
      <c r="T39" s="93"/>
      <c r="U39" s="3"/>
    </row>
    <row r="40" spans="2:21" x14ac:dyDescent="0.3">
      <c r="B40" s="12">
        <f t="shared" si="12"/>
        <v>45980</v>
      </c>
      <c r="C40" s="6">
        <f t="shared" si="14"/>
        <v>6</v>
      </c>
      <c r="D40" s="8"/>
      <c r="E40" s="8">
        <f t="shared" si="13"/>
        <v>0</v>
      </c>
      <c r="F40" s="8"/>
      <c r="G40" s="8"/>
      <c r="H40" s="8"/>
      <c r="I40" s="14"/>
      <c r="J40" s="3"/>
      <c r="K40" s="93"/>
      <c r="L40" s="3"/>
      <c r="M40" s="3"/>
      <c r="S40" s="3"/>
      <c r="T40" s="93"/>
      <c r="U40" s="3"/>
    </row>
    <row r="41" spans="2:21" x14ac:dyDescent="0.3">
      <c r="B41" s="12">
        <f t="shared" si="12"/>
        <v>45987</v>
      </c>
      <c r="C41" s="6">
        <f t="shared" si="14"/>
        <v>7</v>
      </c>
      <c r="D41" s="8"/>
      <c r="E41" s="8">
        <f t="shared" si="13"/>
        <v>0</v>
      </c>
      <c r="F41" s="8">
        <f>+((3500000*(0.4))/2)+((3500000*(18/30))/3)</f>
        <v>1400000</v>
      </c>
      <c r="G41" s="8"/>
      <c r="H41" s="8"/>
      <c r="I41" s="14"/>
      <c r="J41" s="3"/>
      <c r="K41" s="93"/>
      <c r="L41" s="3"/>
      <c r="M41" s="3"/>
      <c r="S41" s="3"/>
      <c r="T41" s="93"/>
      <c r="U41" s="3"/>
    </row>
    <row r="42" spans="2:21" x14ac:dyDescent="0.3">
      <c r="B42" s="12">
        <f t="shared" si="12"/>
        <v>45994</v>
      </c>
      <c r="C42" s="6">
        <f t="shared" si="14"/>
        <v>8</v>
      </c>
      <c r="D42" s="8"/>
      <c r="E42" s="8">
        <f t="shared" si="13"/>
        <v>0</v>
      </c>
      <c r="F42" s="8"/>
      <c r="G42" s="8"/>
      <c r="H42" s="8"/>
      <c r="I42" s="14"/>
      <c r="J42" s="3"/>
      <c r="K42" s="93"/>
      <c r="L42" s="3"/>
      <c r="M42" s="3"/>
      <c r="S42" s="3"/>
      <c r="T42" s="93"/>
      <c r="U42" s="3"/>
    </row>
    <row r="43" spans="2:21" x14ac:dyDescent="0.3">
      <c r="B43" s="12">
        <f t="shared" si="12"/>
        <v>46001</v>
      </c>
      <c r="C43" s="6">
        <f t="shared" si="14"/>
        <v>9</v>
      </c>
      <c r="D43" s="8"/>
      <c r="E43" s="8">
        <f t="shared" si="13"/>
        <v>0</v>
      </c>
      <c r="F43" s="8"/>
      <c r="G43" s="8"/>
      <c r="H43" s="8"/>
      <c r="I43" s="14"/>
      <c r="J43" s="3"/>
      <c r="K43" s="93"/>
      <c r="L43" s="3"/>
      <c r="M43" s="3"/>
      <c r="S43" s="3"/>
      <c r="T43" s="93"/>
      <c r="U43" s="3"/>
    </row>
    <row r="44" spans="2:21" x14ac:dyDescent="0.3">
      <c r="B44" s="12">
        <f t="shared" si="12"/>
        <v>46008</v>
      </c>
      <c r="C44" s="6">
        <f t="shared" si="14"/>
        <v>10</v>
      </c>
      <c r="D44" s="8"/>
      <c r="E44" s="8">
        <f t="shared" si="13"/>
        <v>0</v>
      </c>
      <c r="F44" s="8"/>
      <c r="G44" s="8"/>
      <c r="H44" s="8"/>
      <c r="I44" s="14"/>
      <c r="J44" s="3"/>
      <c r="K44" s="93"/>
      <c r="L44" s="3"/>
      <c r="M44" s="3"/>
      <c r="S44" s="3"/>
      <c r="T44" s="93"/>
      <c r="U44" s="3"/>
    </row>
    <row r="45" spans="2:21" x14ac:dyDescent="0.3">
      <c r="B45" s="12">
        <f t="shared" si="12"/>
        <v>46015</v>
      </c>
      <c r="C45" s="6">
        <f t="shared" si="14"/>
        <v>11</v>
      </c>
      <c r="D45" s="8"/>
      <c r="E45" s="8">
        <f t="shared" si="13"/>
        <v>0</v>
      </c>
      <c r="F45" s="8"/>
      <c r="G45" s="8"/>
      <c r="H45" s="8"/>
      <c r="I45" s="14"/>
      <c r="J45" s="3"/>
      <c r="K45" s="93"/>
      <c r="L45" s="3"/>
      <c r="M45" s="3"/>
      <c r="S45" s="3"/>
      <c r="T45" s="93"/>
      <c r="U45" s="3"/>
    </row>
    <row r="46" spans="2:21" x14ac:dyDescent="0.3">
      <c r="B46" s="12">
        <f t="shared" si="12"/>
        <v>46022</v>
      </c>
      <c r="C46" s="6">
        <f t="shared" si="14"/>
        <v>12</v>
      </c>
      <c r="D46" s="8"/>
      <c r="E46" s="8">
        <f t="shared" si="13"/>
        <v>0</v>
      </c>
      <c r="F46" s="8"/>
      <c r="G46" s="8"/>
      <c r="H46" s="8"/>
      <c r="I46" s="14"/>
      <c r="J46" s="3"/>
      <c r="K46" s="93"/>
      <c r="L46" s="3"/>
      <c r="M46" s="3"/>
      <c r="S46" s="3"/>
      <c r="T46" s="93"/>
      <c r="U46" s="3"/>
    </row>
    <row r="47" spans="2:21" x14ac:dyDescent="0.3">
      <c r="B47" s="12">
        <f t="shared" si="12"/>
        <v>46029</v>
      </c>
      <c r="C47" s="6">
        <f t="shared" si="14"/>
        <v>13</v>
      </c>
      <c r="D47" s="8"/>
      <c r="E47" s="8">
        <f t="shared" si="13"/>
        <v>0</v>
      </c>
      <c r="F47" s="8"/>
      <c r="G47" s="8"/>
      <c r="H47" s="8"/>
      <c r="I47" s="14"/>
      <c r="J47" s="3"/>
      <c r="K47" s="93"/>
      <c r="L47" s="3"/>
      <c r="M47" s="3"/>
      <c r="S47" s="3"/>
      <c r="T47" s="93"/>
      <c r="U47" s="3"/>
    </row>
    <row r="48" spans="2:21" x14ac:dyDescent="0.3">
      <c r="B48" s="15"/>
      <c r="C48" s="3"/>
      <c r="D48" s="3"/>
      <c r="E48" s="3"/>
      <c r="F48" s="3"/>
      <c r="G48" s="3"/>
      <c r="H48" s="3"/>
      <c r="I48" s="26"/>
      <c r="J48" s="3"/>
      <c r="K48" s="93"/>
      <c r="L48" s="3"/>
      <c r="M48" s="3"/>
      <c r="S48" s="3"/>
      <c r="T48" s="93"/>
      <c r="U48" s="3"/>
    </row>
    <row r="49" spans="2:21" ht="15" thickBot="1" x14ac:dyDescent="0.35">
      <c r="B49" s="94" t="s">
        <v>20</v>
      </c>
      <c r="C49" s="95"/>
      <c r="D49" s="19">
        <f>SUM(D35:D47)</f>
        <v>1700000</v>
      </c>
      <c r="E49" s="19">
        <f t="shared" ref="E49:I49" si="15">SUM(E35:E47)</f>
        <v>931600</v>
      </c>
      <c r="F49" s="19">
        <f t="shared" si="15"/>
        <v>2275000</v>
      </c>
      <c r="G49" s="19">
        <f t="shared" si="15"/>
        <v>698319</v>
      </c>
      <c r="H49" s="19">
        <f t="shared" si="15"/>
        <v>764600</v>
      </c>
      <c r="I49" s="20">
        <f t="shared" si="15"/>
        <v>625800</v>
      </c>
      <c r="J49" s="3"/>
      <c r="K49" s="93"/>
      <c r="L49" s="3"/>
      <c r="M49" s="3"/>
      <c r="S49" s="3"/>
      <c r="T49" s="93"/>
      <c r="U49" s="3"/>
    </row>
    <row r="50" spans="2:21" x14ac:dyDescent="0.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S50" s="3"/>
      <c r="T50" s="3"/>
      <c r="U50" s="3"/>
    </row>
    <row r="51" spans="2:21" x14ac:dyDescent="0.3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S51" s="3"/>
      <c r="T51" s="3"/>
      <c r="U51" s="3"/>
    </row>
    <row r="52" spans="2:21" x14ac:dyDescent="0.3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S52" s="3"/>
      <c r="T52" s="3"/>
      <c r="U52" s="3"/>
    </row>
    <row r="53" spans="2:21" x14ac:dyDescent="0.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S53" s="3"/>
      <c r="T53" s="3"/>
      <c r="U53" s="3"/>
    </row>
    <row r="54" spans="2:2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S54" s="3"/>
      <c r="T54" s="3"/>
      <c r="U54" s="3"/>
    </row>
    <row r="55" spans="2:21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S55" s="3"/>
      <c r="T55" s="3"/>
      <c r="U55" s="3"/>
    </row>
    <row r="56" spans="2:21" x14ac:dyDescent="0.3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S56" s="3"/>
      <c r="T56" s="3"/>
      <c r="U56" s="3"/>
    </row>
    <row r="57" spans="2:21" x14ac:dyDescent="0.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S57" s="3"/>
      <c r="T57" s="3"/>
      <c r="U57" s="3"/>
    </row>
    <row r="58" spans="2:21" x14ac:dyDescent="0.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S58" s="3"/>
      <c r="T58" s="3"/>
      <c r="U58" s="3"/>
    </row>
    <row r="59" spans="2:21" x14ac:dyDescent="0.3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S59" s="3"/>
      <c r="T59" s="3"/>
      <c r="U59" s="3"/>
    </row>
    <row r="60" spans="2:21" x14ac:dyDescent="0.3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S60" s="3"/>
      <c r="T60" s="3"/>
      <c r="U60" s="3"/>
    </row>
    <row r="61" spans="2:21" x14ac:dyDescent="0.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S61" s="3"/>
      <c r="T61" s="3"/>
      <c r="U61" s="3"/>
    </row>
    <row r="62" spans="2:21" x14ac:dyDescent="0.3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S62" s="3"/>
      <c r="T62" s="3"/>
      <c r="U62" s="3"/>
    </row>
  </sheetData>
  <mergeCells count="38">
    <mergeCell ref="B1:I2"/>
    <mergeCell ref="K1:K49"/>
    <mergeCell ref="M1:R2"/>
    <mergeCell ref="T1:T49"/>
    <mergeCell ref="V1:AF2"/>
    <mergeCell ref="B4:I4"/>
    <mergeCell ref="M4:R4"/>
    <mergeCell ref="V4:Z4"/>
    <mergeCell ref="AB4:AF4"/>
    <mergeCell ref="AB6:AC6"/>
    <mergeCell ref="V19:Z19"/>
    <mergeCell ref="AB19:AF19"/>
    <mergeCell ref="AE6:AF6"/>
    <mergeCell ref="B10:I10"/>
    <mergeCell ref="B12:B13"/>
    <mergeCell ref="C12:C13"/>
    <mergeCell ref="D12:F12"/>
    <mergeCell ref="G12:I12"/>
    <mergeCell ref="M24:N24"/>
    <mergeCell ref="M14:N14"/>
    <mergeCell ref="M17:Q17"/>
    <mergeCell ref="M19:N19"/>
    <mergeCell ref="P19:Q19"/>
    <mergeCell ref="AB21:AC21"/>
    <mergeCell ref="AE21:AF21"/>
    <mergeCell ref="AB22:AC23"/>
    <mergeCell ref="AE22:AF23"/>
    <mergeCell ref="P23:Q23"/>
    <mergeCell ref="B49:C49"/>
    <mergeCell ref="B28:C28"/>
    <mergeCell ref="B31:I31"/>
    <mergeCell ref="B33:B34"/>
    <mergeCell ref="C33:C34"/>
    <mergeCell ref="D33:E33"/>
    <mergeCell ref="F33:F34"/>
    <mergeCell ref="G33:G34"/>
    <mergeCell ref="H33:H34"/>
    <mergeCell ref="I33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D567-C12D-4F6F-807D-8AB7FE39534A}">
  <dimension ref="B1:AF62"/>
  <sheetViews>
    <sheetView workbookViewId="0">
      <selection activeCell="N26" sqref="N26"/>
    </sheetView>
  </sheetViews>
  <sheetFormatPr baseColWidth="10" defaultRowHeight="14.4" x14ac:dyDescent="0.3"/>
  <cols>
    <col min="1" max="1" width="4" style="1" customWidth="1"/>
    <col min="2" max="2" width="11.88671875" style="1" bestFit="1" customWidth="1"/>
    <col min="3" max="3" width="9.5546875" style="1" bestFit="1" customWidth="1"/>
    <col min="4" max="4" width="10.77734375" style="1" bestFit="1" customWidth="1"/>
    <col min="5" max="5" width="11.21875" style="1" bestFit="1" customWidth="1"/>
    <col min="6" max="6" width="11.44140625" style="1" bestFit="1" customWidth="1"/>
    <col min="7" max="7" width="13.33203125" style="1" bestFit="1" customWidth="1"/>
    <col min="8" max="9" width="11.77734375" style="1" bestFit="1" customWidth="1"/>
    <col min="10" max="10" width="4" style="1" customWidth="1"/>
    <col min="11" max="11" width="2.21875" style="1" customWidth="1"/>
    <col min="12" max="12" width="4" style="1" customWidth="1"/>
    <col min="13" max="13" width="13.6640625" style="1" customWidth="1"/>
    <col min="14" max="14" width="12.44140625" style="1" customWidth="1"/>
    <col min="15" max="15" width="12.5546875" style="1" bestFit="1" customWidth="1"/>
    <col min="16" max="17" width="13.21875" style="1" customWidth="1"/>
    <col min="18" max="18" width="12.5546875" style="1" bestFit="1" customWidth="1"/>
    <col min="19" max="19" width="4" style="1" customWidth="1"/>
    <col min="20" max="20" width="2.21875" style="1" customWidth="1"/>
    <col min="21" max="21" width="4" style="1" customWidth="1"/>
    <col min="22" max="22" width="15.109375" style="1" customWidth="1"/>
    <col min="23" max="23" width="2.33203125" style="1" customWidth="1"/>
    <col min="24" max="24" width="12.5546875" style="1" bestFit="1" customWidth="1"/>
    <col min="25" max="25" width="15.6640625" style="1" customWidth="1"/>
    <col min="26" max="26" width="11.5546875" style="1"/>
    <col min="27" max="27" width="4.109375" style="1" customWidth="1"/>
    <col min="28" max="28" width="11.88671875" style="1" bestFit="1" customWidth="1"/>
    <col min="29" max="29" width="6.33203125" style="1" bestFit="1" customWidth="1"/>
    <col min="30" max="30" width="2.33203125" style="1" customWidth="1"/>
    <col min="31" max="31" width="11.77734375" style="1" bestFit="1" customWidth="1"/>
    <col min="32" max="32" width="6.33203125" style="1" bestFit="1" customWidth="1"/>
    <col min="33" max="16384" width="11.5546875" style="1"/>
  </cols>
  <sheetData>
    <row r="1" spans="2:32" x14ac:dyDescent="0.3">
      <c r="B1" s="87" t="s">
        <v>67</v>
      </c>
      <c r="C1" s="88"/>
      <c r="D1" s="88"/>
      <c r="E1" s="88"/>
      <c r="F1" s="88"/>
      <c r="G1" s="88"/>
      <c r="H1" s="88"/>
      <c r="I1" s="89"/>
      <c r="K1" s="93"/>
      <c r="M1" s="87" t="s">
        <v>31</v>
      </c>
      <c r="N1" s="88"/>
      <c r="O1" s="88"/>
      <c r="P1" s="88"/>
      <c r="Q1" s="88"/>
      <c r="R1" s="89"/>
      <c r="T1" s="93"/>
      <c r="V1" s="53" t="s">
        <v>52</v>
      </c>
      <c r="W1" s="54"/>
      <c r="X1" s="54"/>
      <c r="Y1" s="54"/>
      <c r="Z1" s="54"/>
      <c r="AA1" s="54"/>
      <c r="AB1" s="54"/>
      <c r="AC1" s="54"/>
      <c r="AD1" s="54"/>
      <c r="AE1" s="54"/>
      <c r="AF1" s="55"/>
    </row>
    <row r="2" spans="2:32" ht="15" thickBot="1" x14ac:dyDescent="0.35">
      <c r="B2" s="90"/>
      <c r="C2" s="91"/>
      <c r="D2" s="91"/>
      <c r="E2" s="91"/>
      <c r="F2" s="91"/>
      <c r="G2" s="91"/>
      <c r="H2" s="91"/>
      <c r="I2" s="92"/>
      <c r="K2" s="93"/>
      <c r="M2" s="90"/>
      <c r="N2" s="91"/>
      <c r="O2" s="91"/>
      <c r="P2" s="91"/>
      <c r="Q2" s="91"/>
      <c r="R2" s="92"/>
      <c r="T2" s="93"/>
      <c r="V2" s="56"/>
      <c r="W2" s="57"/>
      <c r="X2" s="57"/>
      <c r="Y2" s="57"/>
      <c r="Z2" s="57"/>
      <c r="AA2" s="57"/>
      <c r="AB2" s="57"/>
      <c r="AC2" s="57"/>
      <c r="AD2" s="57"/>
      <c r="AE2" s="57"/>
      <c r="AF2" s="58"/>
    </row>
    <row r="3" spans="2:32" ht="15" thickBot="1" x14ac:dyDescent="0.35">
      <c r="C3" s="3"/>
      <c r="D3" s="3"/>
      <c r="E3" s="3"/>
      <c r="F3" s="3"/>
      <c r="G3" s="3"/>
      <c r="H3" s="3"/>
      <c r="I3" s="3"/>
      <c r="J3" s="3"/>
      <c r="K3" s="93"/>
      <c r="L3" s="3"/>
      <c r="M3" s="3"/>
      <c r="S3" s="3"/>
      <c r="T3" s="93"/>
      <c r="U3" s="3"/>
    </row>
    <row r="4" spans="2:32" ht="15" thickBot="1" x14ac:dyDescent="0.35">
      <c r="B4" s="99" t="s">
        <v>23</v>
      </c>
      <c r="C4" s="100"/>
      <c r="D4" s="100"/>
      <c r="E4" s="100"/>
      <c r="F4" s="100"/>
      <c r="G4" s="100"/>
      <c r="H4" s="100"/>
      <c r="I4" s="101"/>
      <c r="J4" s="3"/>
      <c r="K4" s="93"/>
      <c r="L4" s="3"/>
      <c r="M4" s="80" t="s">
        <v>36</v>
      </c>
      <c r="N4" s="81"/>
      <c r="O4" s="81"/>
      <c r="P4" s="81"/>
      <c r="Q4" s="81"/>
      <c r="R4" s="82"/>
      <c r="S4" s="3"/>
      <c r="T4" s="93"/>
      <c r="U4" s="3"/>
      <c r="V4" s="59" t="s">
        <v>58</v>
      </c>
      <c r="W4" s="60"/>
      <c r="X4" s="60"/>
      <c r="Y4" s="60"/>
      <c r="Z4" s="61"/>
      <c r="AB4" s="59" t="s">
        <v>59</v>
      </c>
      <c r="AC4" s="60"/>
      <c r="AD4" s="60"/>
      <c r="AE4" s="60"/>
      <c r="AF4" s="61"/>
    </row>
    <row r="5" spans="2:32" ht="15" thickBot="1" x14ac:dyDescent="0.35">
      <c r="B5" s="3"/>
      <c r="C5" s="3"/>
      <c r="D5" s="3"/>
      <c r="E5" s="3"/>
      <c r="F5" s="3"/>
      <c r="G5" s="3"/>
      <c r="H5" s="3"/>
      <c r="I5" s="3"/>
      <c r="J5" s="3"/>
      <c r="K5" s="93"/>
      <c r="L5" s="3"/>
      <c r="S5" s="3"/>
      <c r="T5" s="93"/>
      <c r="U5" s="3"/>
    </row>
    <row r="6" spans="2:32" x14ac:dyDescent="0.3">
      <c r="B6" s="9" t="s">
        <v>24</v>
      </c>
      <c r="C6" s="21" t="s">
        <v>5</v>
      </c>
      <c r="D6" s="21" t="s">
        <v>2</v>
      </c>
      <c r="E6" s="21" t="s">
        <v>6</v>
      </c>
      <c r="F6" s="21" t="s">
        <v>7</v>
      </c>
      <c r="G6" s="21" t="s">
        <v>10</v>
      </c>
      <c r="H6" s="21" t="s">
        <v>8</v>
      </c>
      <c r="I6" s="22" t="s">
        <v>9</v>
      </c>
      <c r="J6" s="3"/>
      <c r="K6" s="93"/>
      <c r="L6" s="3"/>
      <c r="M6" s="9" t="s">
        <v>24</v>
      </c>
      <c r="N6" s="21" t="s">
        <v>32</v>
      </c>
      <c r="O6" s="10" t="s">
        <v>34</v>
      </c>
      <c r="P6" s="10" t="s">
        <v>35</v>
      </c>
      <c r="Q6" s="10" t="s">
        <v>33</v>
      </c>
      <c r="R6" s="27" t="s">
        <v>9</v>
      </c>
      <c r="S6" s="3"/>
      <c r="T6" s="93"/>
      <c r="U6" s="3"/>
      <c r="V6" s="9" t="s">
        <v>53</v>
      </c>
      <c r="W6" s="35"/>
      <c r="X6" s="10" t="s">
        <v>9</v>
      </c>
      <c r="Y6" s="10" t="s">
        <v>56</v>
      </c>
      <c r="Z6" s="45" t="s">
        <v>57</v>
      </c>
      <c r="AB6" s="65" t="s">
        <v>23</v>
      </c>
      <c r="AC6" s="66"/>
      <c r="AD6" s="35"/>
      <c r="AE6" s="66" t="s">
        <v>22</v>
      </c>
      <c r="AF6" s="67"/>
    </row>
    <row r="7" spans="2:32" ht="15" thickBot="1" x14ac:dyDescent="0.35">
      <c r="B7" s="23">
        <v>45973</v>
      </c>
      <c r="C7" s="17">
        <v>3</v>
      </c>
      <c r="D7" s="17">
        <v>215</v>
      </c>
      <c r="E7" s="24">
        <v>7346</v>
      </c>
      <c r="F7" s="24">
        <f>+E7/D7</f>
        <v>34.167441860465118</v>
      </c>
      <c r="G7" s="18">
        <v>12398</v>
      </c>
      <c r="H7" s="18">
        <f>+G7*F7</f>
        <v>423607.94418604654</v>
      </c>
      <c r="I7" s="20">
        <f>+H7*D7</f>
        <v>91075708</v>
      </c>
      <c r="J7" s="3"/>
      <c r="K7" s="93"/>
      <c r="L7" s="3"/>
      <c r="M7" s="12">
        <v>45994</v>
      </c>
      <c r="N7" s="6">
        <v>1</v>
      </c>
      <c r="O7" s="6"/>
      <c r="P7" s="6">
        <f>+O7*128</f>
        <v>0</v>
      </c>
      <c r="Q7" s="8"/>
      <c r="R7" s="29">
        <f>+P7*Q7</f>
        <v>0</v>
      </c>
      <c r="S7" s="3"/>
      <c r="T7" s="93"/>
      <c r="U7" s="3"/>
      <c r="V7" s="36" t="s">
        <v>0</v>
      </c>
      <c r="X7" s="8">
        <f>+I7</f>
        <v>91075708</v>
      </c>
      <c r="Y7" s="8" t="e">
        <f>+X7/$O$14</f>
        <v>#DIV/0!</v>
      </c>
      <c r="Z7" s="14" t="e">
        <f>+Y7/$N$26</f>
        <v>#DIV/0!</v>
      </c>
      <c r="AB7" s="32">
        <f>+X7</f>
        <v>91075708</v>
      </c>
      <c r="AC7" s="42">
        <f>+AB7/$X$16</f>
        <v>0.91660499973298648</v>
      </c>
      <c r="AD7" s="3"/>
      <c r="AE7" s="8"/>
      <c r="AF7" s="43">
        <f>+AE7/$X$16</f>
        <v>0</v>
      </c>
    </row>
    <row r="8" spans="2:32" x14ac:dyDescent="0.3">
      <c r="B8" s="2"/>
      <c r="E8" s="4"/>
      <c r="F8" s="4"/>
      <c r="G8" s="3"/>
      <c r="H8" s="3"/>
      <c r="I8" s="3"/>
      <c r="J8" s="3"/>
      <c r="K8" s="93"/>
      <c r="L8" s="3"/>
      <c r="M8" s="12">
        <v>45998</v>
      </c>
      <c r="N8" s="6">
        <v>2</v>
      </c>
      <c r="O8" s="6"/>
      <c r="P8" s="6">
        <f t="shared" ref="P8:P9" si="0">+O8*128</f>
        <v>0</v>
      </c>
      <c r="Q8" s="8"/>
      <c r="R8" s="29">
        <f t="shared" ref="R8:R12" si="1">+P8*Q8</f>
        <v>0</v>
      </c>
      <c r="S8" s="3"/>
      <c r="T8" s="93"/>
      <c r="U8" s="3"/>
      <c r="V8" s="36" t="s">
        <v>1</v>
      </c>
      <c r="X8" s="8">
        <f>+F28+I28</f>
        <v>5655094.2000000002</v>
      </c>
      <c r="Y8" s="8" t="e">
        <f t="shared" ref="Y8:Y14" si="2">+X8/$O$14</f>
        <v>#DIV/0!</v>
      </c>
      <c r="Z8" s="14" t="e">
        <f t="shared" ref="Z8:Z14" si="3">+Y8/$N$26</f>
        <v>#DIV/0!</v>
      </c>
      <c r="AB8" s="32"/>
      <c r="AC8" s="42">
        <f t="shared" ref="AC8:AC14" si="4">+AB8/$X$16</f>
        <v>0</v>
      </c>
      <c r="AD8" s="3"/>
      <c r="AE8" s="8">
        <f>+X8</f>
        <v>5655094.2000000002</v>
      </c>
      <c r="AF8" s="43">
        <f t="shared" ref="AF8:AF14" si="5">+AE8/$X$16</f>
        <v>5.6914052402216989E-2</v>
      </c>
    </row>
    <row r="9" spans="2:32" ht="15" thickBot="1" x14ac:dyDescent="0.35">
      <c r="C9" s="3"/>
      <c r="D9" s="3"/>
      <c r="E9" s="3"/>
      <c r="F9" s="3"/>
      <c r="G9" s="3"/>
      <c r="H9" s="3"/>
      <c r="I9" s="3"/>
      <c r="J9" s="3"/>
      <c r="K9" s="93"/>
      <c r="L9" s="3"/>
      <c r="M9" s="12">
        <v>46001</v>
      </c>
      <c r="N9" s="6">
        <v>3</v>
      </c>
      <c r="O9" s="6"/>
      <c r="P9" s="6">
        <f t="shared" si="0"/>
        <v>0</v>
      </c>
      <c r="Q9" s="8"/>
      <c r="R9" s="29">
        <f t="shared" si="1"/>
        <v>0</v>
      </c>
      <c r="S9" s="3"/>
      <c r="T9" s="93"/>
      <c r="U9" s="3"/>
      <c r="V9" s="36" t="s">
        <v>55</v>
      </c>
      <c r="X9" s="8">
        <f>+D49</f>
        <v>1700000</v>
      </c>
      <c r="Y9" s="8" t="e">
        <f t="shared" si="2"/>
        <v>#DIV/0!</v>
      </c>
      <c r="Z9" s="14" t="e">
        <f t="shared" si="3"/>
        <v>#DIV/0!</v>
      </c>
      <c r="AB9" s="32">
        <f>+X9/2</f>
        <v>850000</v>
      </c>
      <c r="AC9" s="42">
        <f t="shared" si="4"/>
        <v>8.5545780195641023E-3</v>
      </c>
      <c r="AD9" s="3"/>
      <c r="AE9" s="8">
        <f>+X9/2</f>
        <v>850000</v>
      </c>
      <c r="AF9" s="43">
        <f t="shared" si="5"/>
        <v>8.5545780195641023E-3</v>
      </c>
    </row>
    <row r="10" spans="2:32" ht="15" thickBot="1" x14ac:dyDescent="0.35">
      <c r="B10" s="96" t="s">
        <v>22</v>
      </c>
      <c r="C10" s="97"/>
      <c r="D10" s="97"/>
      <c r="E10" s="97"/>
      <c r="F10" s="97"/>
      <c r="G10" s="97"/>
      <c r="H10" s="97"/>
      <c r="I10" s="98"/>
      <c r="K10" s="93"/>
      <c r="M10" s="28"/>
      <c r="N10" s="6">
        <v>4</v>
      </c>
      <c r="O10" s="8"/>
      <c r="P10" s="6"/>
      <c r="Q10" s="8"/>
      <c r="R10" s="29">
        <f t="shared" si="1"/>
        <v>0</v>
      </c>
      <c r="T10" s="93"/>
      <c r="V10" s="36" t="s">
        <v>54</v>
      </c>
      <c r="X10" s="8">
        <f>+E49</f>
        <v>231200</v>
      </c>
      <c r="Y10" s="8" t="e">
        <f t="shared" si="2"/>
        <v>#DIV/0!</v>
      </c>
      <c r="Z10" s="14" t="e">
        <f t="shared" si="3"/>
        <v>#DIV/0!</v>
      </c>
      <c r="AB10" s="32">
        <f t="shared" ref="AB10:AB14" si="6">+X10/2</f>
        <v>115600</v>
      </c>
      <c r="AC10" s="42">
        <f t="shared" si="4"/>
        <v>1.1634226106607178E-3</v>
      </c>
      <c r="AD10" s="3"/>
      <c r="AE10" s="8">
        <f t="shared" ref="AE10:AE14" si="7">+X10/2</f>
        <v>115600</v>
      </c>
      <c r="AF10" s="43">
        <f t="shared" si="5"/>
        <v>1.1634226106607178E-3</v>
      </c>
    </row>
    <row r="11" spans="2:32" ht="15" thickBot="1" x14ac:dyDescent="0.35">
      <c r="K11" s="93"/>
      <c r="M11" s="32"/>
      <c r="N11" s="6">
        <v>5</v>
      </c>
      <c r="O11" s="6"/>
      <c r="P11" s="6"/>
      <c r="Q11" s="8"/>
      <c r="R11" s="29">
        <f t="shared" si="1"/>
        <v>0</v>
      </c>
      <c r="T11" s="93"/>
      <c r="V11" s="36" t="s">
        <v>12</v>
      </c>
      <c r="X11" s="8">
        <f>+F49</f>
        <v>700000</v>
      </c>
      <c r="Y11" s="8" t="e">
        <f t="shared" si="2"/>
        <v>#DIV/0!</v>
      </c>
      <c r="Z11" s="14" t="e">
        <f t="shared" si="3"/>
        <v>#DIV/0!</v>
      </c>
      <c r="AB11" s="32">
        <f t="shared" si="6"/>
        <v>350000</v>
      </c>
      <c r="AC11" s="42">
        <f t="shared" si="4"/>
        <v>3.5224733021734537E-3</v>
      </c>
      <c r="AD11" s="3"/>
      <c r="AE11" s="8">
        <f t="shared" si="7"/>
        <v>350000</v>
      </c>
      <c r="AF11" s="43">
        <f t="shared" si="5"/>
        <v>3.5224733021734537E-3</v>
      </c>
    </row>
    <row r="12" spans="2:32" x14ac:dyDescent="0.3">
      <c r="B12" s="102" t="s">
        <v>17</v>
      </c>
      <c r="C12" s="104" t="s">
        <v>18</v>
      </c>
      <c r="D12" s="108" t="s">
        <v>19</v>
      </c>
      <c r="E12" s="108"/>
      <c r="F12" s="108"/>
      <c r="G12" s="109" t="s">
        <v>21</v>
      </c>
      <c r="H12" s="109"/>
      <c r="I12" s="110"/>
      <c r="K12" s="93"/>
      <c r="M12" s="28"/>
      <c r="N12" s="6">
        <v>6</v>
      </c>
      <c r="O12" s="6"/>
      <c r="P12" s="6"/>
      <c r="Q12" s="8"/>
      <c r="R12" s="29">
        <f t="shared" si="1"/>
        <v>0</v>
      </c>
      <c r="T12" s="93"/>
      <c r="V12" s="36" t="s">
        <v>13</v>
      </c>
      <c r="X12" s="8">
        <f>+G49</f>
        <v>0</v>
      </c>
      <c r="Y12" s="8" t="e">
        <f t="shared" si="2"/>
        <v>#DIV/0!</v>
      </c>
      <c r="Z12" s="14" t="e">
        <f t="shared" si="3"/>
        <v>#DIV/0!</v>
      </c>
      <c r="AB12" s="32">
        <f t="shared" si="6"/>
        <v>0</v>
      </c>
      <c r="AC12" s="42">
        <f t="shared" si="4"/>
        <v>0</v>
      </c>
      <c r="AD12" s="3"/>
      <c r="AE12" s="8">
        <f t="shared" si="7"/>
        <v>0</v>
      </c>
      <c r="AF12" s="43">
        <f t="shared" si="5"/>
        <v>0</v>
      </c>
    </row>
    <row r="13" spans="2:32" x14ac:dyDescent="0.3">
      <c r="B13" s="103"/>
      <c r="C13" s="105"/>
      <c r="D13" s="5" t="s">
        <v>2</v>
      </c>
      <c r="E13" s="5" t="s">
        <v>3</v>
      </c>
      <c r="F13" s="5" t="s">
        <v>4</v>
      </c>
      <c r="G13" s="5" t="s">
        <v>2</v>
      </c>
      <c r="H13" s="5" t="s">
        <v>3</v>
      </c>
      <c r="I13" s="11" t="s">
        <v>4</v>
      </c>
      <c r="K13" s="93"/>
      <c r="M13" s="15"/>
      <c r="R13" s="16"/>
      <c r="T13" s="93"/>
      <c r="V13" s="36" t="s">
        <v>15</v>
      </c>
      <c r="X13" s="8">
        <f>+H49</f>
        <v>0</v>
      </c>
      <c r="Y13" s="8" t="e">
        <f t="shared" si="2"/>
        <v>#DIV/0!</v>
      </c>
      <c r="Z13" s="14" t="e">
        <f t="shared" si="3"/>
        <v>#DIV/0!</v>
      </c>
      <c r="AB13" s="32">
        <f t="shared" si="6"/>
        <v>0</v>
      </c>
      <c r="AC13" s="42">
        <f t="shared" si="4"/>
        <v>0</v>
      </c>
      <c r="AD13" s="3"/>
      <c r="AE13" s="8">
        <f t="shared" si="7"/>
        <v>0</v>
      </c>
      <c r="AF13" s="43">
        <f t="shared" si="5"/>
        <v>0</v>
      </c>
    </row>
    <row r="14" spans="2:32" ht="15" thickBot="1" x14ac:dyDescent="0.35">
      <c r="B14" s="12">
        <f>+B7</f>
        <v>45973</v>
      </c>
      <c r="C14" s="6">
        <v>1</v>
      </c>
      <c r="D14" s="6">
        <v>68</v>
      </c>
      <c r="E14" s="8">
        <f>77650*105%</f>
        <v>81532.5</v>
      </c>
      <c r="F14" s="8">
        <f t="shared" ref="F14:F19" si="8">(E14*D14)*102%</f>
        <v>5655094.2000000002</v>
      </c>
      <c r="G14" s="6"/>
      <c r="H14" s="6"/>
      <c r="I14" s="13"/>
      <c r="K14" s="93"/>
      <c r="M14" s="85" t="s">
        <v>20</v>
      </c>
      <c r="N14" s="86"/>
      <c r="O14" s="17">
        <f>SUM(O7:O10)</f>
        <v>0</v>
      </c>
      <c r="P14" s="17">
        <f>SUM(P7:P10)</f>
        <v>0</v>
      </c>
      <c r="Q14" s="18" t="e">
        <f>+R14/P14</f>
        <v>#DIV/0!</v>
      </c>
      <c r="R14" s="31">
        <f>SUM(R7:R12)</f>
        <v>0</v>
      </c>
      <c r="T14" s="93"/>
      <c r="V14" s="36" t="s">
        <v>11</v>
      </c>
      <c r="X14" s="8">
        <f>+I49</f>
        <v>0</v>
      </c>
      <c r="Y14" s="8" t="e">
        <f t="shared" si="2"/>
        <v>#DIV/0!</v>
      </c>
      <c r="Z14" s="14" t="e">
        <f t="shared" si="3"/>
        <v>#DIV/0!</v>
      </c>
      <c r="AB14" s="32">
        <f t="shared" si="6"/>
        <v>0</v>
      </c>
      <c r="AC14" s="42">
        <f t="shared" si="4"/>
        <v>0</v>
      </c>
      <c r="AD14" s="3"/>
      <c r="AE14" s="8">
        <f t="shared" si="7"/>
        <v>0</v>
      </c>
      <c r="AF14" s="43">
        <f t="shared" si="5"/>
        <v>0</v>
      </c>
    </row>
    <row r="15" spans="2:32" x14ac:dyDescent="0.3">
      <c r="B15" s="12">
        <f>+B14+7</f>
        <v>45980</v>
      </c>
      <c r="C15" s="6">
        <f>+C14+1</f>
        <v>2</v>
      </c>
      <c r="D15" s="6"/>
      <c r="E15" s="8">
        <f t="shared" ref="E15:E18" si="9">77650*105%</f>
        <v>81532.5</v>
      </c>
      <c r="F15" s="8">
        <f t="shared" si="8"/>
        <v>0</v>
      </c>
      <c r="G15" s="6"/>
      <c r="H15" s="6"/>
      <c r="I15" s="13"/>
      <c r="K15" s="93"/>
      <c r="T15" s="93"/>
      <c r="V15" s="15"/>
      <c r="Z15" s="16"/>
      <c r="AB15" s="15"/>
      <c r="AF15" s="16"/>
    </row>
    <row r="16" spans="2:32" ht="15" thickBot="1" x14ac:dyDescent="0.35">
      <c r="B16" s="12">
        <f t="shared" ref="B16:B26" si="10">+B15+7</f>
        <v>45987</v>
      </c>
      <c r="C16" s="6">
        <f t="shared" ref="C16:C26" si="11">+C15+1</f>
        <v>3</v>
      </c>
      <c r="D16" s="6"/>
      <c r="E16" s="8">
        <f t="shared" si="9"/>
        <v>81532.5</v>
      </c>
      <c r="F16" s="8">
        <f t="shared" si="8"/>
        <v>0</v>
      </c>
      <c r="G16" s="6"/>
      <c r="H16" s="6"/>
      <c r="I16" s="13"/>
      <c r="K16" s="93"/>
      <c r="T16" s="93"/>
      <c r="V16" s="46" t="s">
        <v>20</v>
      </c>
      <c r="W16" s="39"/>
      <c r="X16" s="47">
        <f>SUM(X7:X15)</f>
        <v>99362002.200000003</v>
      </c>
      <c r="Y16" s="47" t="e">
        <f>SUM(Y7:Y15)</f>
        <v>#DIV/0!</v>
      </c>
      <c r="Z16" s="48" t="e">
        <f>SUM(Z7:Z14)</f>
        <v>#DIV/0!</v>
      </c>
      <c r="AB16" s="49">
        <f>SUM(AB7:AB14)</f>
        <v>92391308</v>
      </c>
      <c r="AC16" s="50">
        <f>SUM(AC7:AC14)</f>
        <v>0.92984547366538473</v>
      </c>
      <c r="AD16" s="39"/>
      <c r="AE16" s="47">
        <f>SUM(AE7:AE14)</f>
        <v>6970694.2000000002</v>
      </c>
      <c r="AF16" s="51">
        <f>SUM(AF7:AF14)</f>
        <v>7.0154526334615261E-2</v>
      </c>
    </row>
    <row r="17" spans="2:32" ht="15" thickBot="1" x14ac:dyDescent="0.35">
      <c r="B17" s="12">
        <f t="shared" si="10"/>
        <v>45994</v>
      </c>
      <c r="C17" s="6">
        <f t="shared" si="11"/>
        <v>4</v>
      </c>
      <c r="D17" s="6"/>
      <c r="E17" s="8">
        <f t="shared" si="9"/>
        <v>81532.5</v>
      </c>
      <c r="F17" s="8">
        <f t="shared" si="8"/>
        <v>0</v>
      </c>
      <c r="G17" s="6"/>
      <c r="H17" s="6"/>
      <c r="I17" s="13"/>
      <c r="K17" s="93"/>
      <c r="M17" s="80" t="s">
        <v>31</v>
      </c>
      <c r="N17" s="81"/>
      <c r="O17" s="81"/>
      <c r="P17" s="81"/>
      <c r="Q17" s="82"/>
      <c r="T17" s="93"/>
    </row>
    <row r="18" spans="2:32" ht="15" thickBot="1" x14ac:dyDescent="0.35">
      <c r="B18" s="12">
        <f t="shared" si="10"/>
        <v>46001</v>
      </c>
      <c r="C18" s="6">
        <f t="shared" si="11"/>
        <v>5</v>
      </c>
      <c r="D18" s="6"/>
      <c r="E18" s="8">
        <f t="shared" si="9"/>
        <v>81532.5</v>
      </c>
      <c r="F18" s="8">
        <f t="shared" si="8"/>
        <v>0</v>
      </c>
      <c r="G18" s="6"/>
      <c r="H18" s="6"/>
      <c r="I18" s="13"/>
      <c r="K18" s="93"/>
      <c r="T18" s="93"/>
    </row>
    <row r="19" spans="2:32" ht="15" thickBot="1" x14ac:dyDescent="0.35">
      <c r="B19" s="12">
        <f t="shared" si="10"/>
        <v>46008</v>
      </c>
      <c r="C19" s="6">
        <f t="shared" si="11"/>
        <v>6</v>
      </c>
      <c r="D19" s="6"/>
      <c r="E19" s="8"/>
      <c r="F19" s="8">
        <f t="shared" si="8"/>
        <v>0</v>
      </c>
      <c r="G19" s="6"/>
      <c r="H19" s="6"/>
      <c r="I19" s="13"/>
      <c r="K19" s="93"/>
      <c r="M19" s="78" t="s">
        <v>50</v>
      </c>
      <c r="N19" s="74"/>
      <c r="O19" s="35"/>
      <c r="P19" s="74" t="s">
        <v>48</v>
      </c>
      <c r="Q19" s="75"/>
      <c r="T19" s="93"/>
      <c r="V19" s="59" t="s">
        <v>60</v>
      </c>
      <c r="W19" s="60"/>
      <c r="X19" s="60"/>
      <c r="Y19" s="60"/>
      <c r="Z19" s="61"/>
      <c r="AB19" s="62" t="s">
        <v>65</v>
      </c>
      <c r="AC19" s="63"/>
      <c r="AD19" s="63"/>
      <c r="AE19" s="63"/>
      <c r="AF19" s="64"/>
    </row>
    <row r="20" spans="2:32" ht="15" thickBot="1" x14ac:dyDescent="0.35">
      <c r="B20" s="12">
        <f t="shared" si="10"/>
        <v>46015</v>
      </c>
      <c r="C20" s="6">
        <f t="shared" si="11"/>
        <v>7</v>
      </c>
      <c r="D20" s="6"/>
      <c r="E20" s="8"/>
      <c r="F20" s="8"/>
      <c r="G20" s="6"/>
      <c r="H20" s="8"/>
      <c r="I20" s="14"/>
      <c r="K20" s="93"/>
      <c r="M20" s="36" t="s">
        <v>14</v>
      </c>
      <c r="N20" s="6">
        <f>+D7</f>
        <v>215</v>
      </c>
      <c r="P20" s="33" t="s">
        <v>40</v>
      </c>
      <c r="Q20" s="13">
        <f>+(D28+G28)*40</f>
        <v>2720</v>
      </c>
      <c r="T20" s="93"/>
    </row>
    <row r="21" spans="2:32" x14ac:dyDescent="0.3">
      <c r="B21" s="12">
        <f t="shared" si="10"/>
        <v>46022</v>
      </c>
      <c r="C21" s="6">
        <f t="shared" si="11"/>
        <v>8</v>
      </c>
      <c r="D21" s="6"/>
      <c r="E21" s="8"/>
      <c r="F21" s="8"/>
      <c r="G21" s="6"/>
      <c r="H21" s="8"/>
      <c r="I21" s="14"/>
      <c r="K21" s="93"/>
      <c r="M21" s="36" t="s">
        <v>37</v>
      </c>
      <c r="N21" s="7">
        <f>+F7</f>
        <v>34.167441860465118</v>
      </c>
      <c r="P21" s="33" t="s">
        <v>39</v>
      </c>
      <c r="Q21" s="37">
        <f>+Q20/N25</f>
        <v>12.651162790697674</v>
      </c>
      <c r="T21" s="93"/>
      <c r="V21" s="9" t="s">
        <v>53</v>
      </c>
      <c r="W21" s="35"/>
      <c r="X21" s="10" t="s">
        <v>9</v>
      </c>
      <c r="Y21" s="10" t="s">
        <v>63</v>
      </c>
      <c r="Z21" s="45" t="s">
        <v>62</v>
      </c>
      <c r="AB21" s="65" t="s">
        <v>23</v>
      </c>
      <c r="AC21" s="66"/>
      <c r="AD21" s="35"/>
      <c r="AE21" s="66" t="s">
        <v>22</v>
      </c>
      <c r="AF21" s="67"/>
    </row>
    <row r="22" spans="2:32" x14ac:dyDescent="0.3">
      <c r="B22" s="12">
        <f t="shared" si="10"/>
        <v>46029</v>
      </c>
      <c r="C22" s="6">
        <f t="shared" si="11"/>
        <v>9</v>
      </c>
      <c r="D22" s="6"/>
      <c r="E22" s="8"/>
      <c r="F22" s="8"/>
      <c r="G22" s="6"/>
      <c r="H22" s="8"/>
      <c r="I22" s="14"/>
      <c r="K22" s="93"/>
      <c r="M22" s="36" t="s">
        <v>38</v>
      </c>
      <c r="N22" s="6">
        <f>+N20*N21</f>
        <v>7346</v>
      </c>
      <c r="Q22" s="16"/>
      <c r="T22" s="93"/>
      <c r="V22" s="36" t="s">
        <v>61</v>
      </c>
      <c r="X22" s="8">
        <f>+R14</f>
        <v>0</v>
      </c>
      <c r="Y22" s="8" t="e">
        <f>+X22/O14</f>
        <v>#DIV/0!</v>
      </c>
      <c r="Z22" s="14" t="e">
        <f>+Y22/N26</f>
        <v>#DIV/0!</v>
      </c>
      <c r="AB22" s="68">
        <f>+X23*AC16</f>
        <v>-92391308</v>
      </c>
      <c r="AC22" s="69"/>
      <c r="AE22" s="69">
        <f>+X23*AF16</f>
        <v>-6970694.1999999993</v>
      </c>
      <c r="AF22" s="72"/>
    </row>
    <row r="23" spans="2:32" ht="15" thickBot="1" x14ac:dyDescent="0.35">
      <c r="B23" s="12">
        <f t="shared" si="10"/>
        <v>46036</v>
      </c>
      <c r="C23" s="6">
        <f t="shared" si="11"/>
        <v>10</v>
      </c>
      <c r="D23" s="6"/>
      <c r="E23" s="8"/>
      <c r="F23" s="8"/>
      <c r="G23" s="6"/>
      <c r="H23" s="8"/>
      <c r="I23" s="14"/>
      <c r="J23" s="3"/>
      <c r="K23" s="93"/>
      <c r="L23" s="3"/>
      <c r="M23" s="15"/>
      <c r="P23" s="76" t="s">
        <v>49</v>
      </c>
      <c r="Q23" s="77"/>
      <c r="S23" s="3"/>
      <c r="T23" s="93"/>
      <c r="U23" s="3"/>
      <c r="V23" s="44" t="s">
        <v>64</v>
      </c>
      <c r="W23" s="39"/>
      <c r="X23" s="18">
        <f>+X22-X16</f>
        <v>-99362002.200000003</v>
      </c>
      <c r="Y23" s="18" t="e">
        <f>+Y22-Y16</f>
        <v>#DIV/0!</v>
      </c>
      <c r="Z23" s="52" t="e">
        <f>+Z22-Z16</f>
        <v>#DIV/0!</v>
      </c>
      <c r="AB23" s="70"/>
      <c r="AC23" s="71"/>
      <c r="AD23" s="39"/>
      <c r="AE23" s="71"/>
      <c r="AF23" s="73"/>
    </row>
    <row r="24" spans="2:32" x14ac:dyDescent="0.3">
      <c r="B24" s="12">
        <f t="shared" si="10"/>
        <v>46043</v>
      </c>
      <c r="C24" s="6">
        <f t="shared" si="11"/>
        <v>11</v>
      </c>
      <c r="D24" s="6"/>
      <c r="E24" s="8"/>
      <c r="F24" s="8"/>
      <c r="G24" s="6"/>
      <c r="H24" s="8"/>
      <c r="I24" s="14"/>
      <c r="J24" s="3"/>
      <c r="K24" s="93"/>
      <c r="L24" s="3"/>
      <c r="M24" s="79" t="s">
        <v>51</v>
      </c>
      <c r="N24" s="76"/>
      <c r="P24" s="33" t="s">
        <v>43</v>
      </c>
      <c r="Q24" s="37">
        <f>+N27-N22</f>
        <v>-7346</v>
      </c>
      <c r="S24" s="3"/>
      <c r="T24" s="93"/>
      <c r="U24" s="3"/>
    </row>
    <row r="25" spans="2:32" x14ac:dyDescent="0.3">
      <c r="B25" s="12">
        <f t="shared" si="10"/>
        <v>46050</v>
      </c>
      <c r="C25" s="6">
        <f t="shared" si="11"/>
        <v>12</v>
      </c>
      <c r="D25" s="6"/>
      <c r="E25" s="8"/>
      <c r="F25" s="8"/>
      <c r="G25" s="6"/>
      <c r="H25" s="8"/>
      <c r="I25" s="14"/>
      <c r="J25" s="3"/>
      <c r="K25" s="93"/>
      <c r="L25" s="3"/>
      <c r="M25" s="36" t="s">
        <v>14</v>
      </c>
      <c r="N25" s="6">
        <v>215</v>
      </c>
      <c r="P25" s="33" t="s">
        <v>44</v>
      </c>
      <c r="Q25" s="37">
        <f>+Q24/N25</f>
        <v>-34.167441860465118</v>
      </c>
      <c r="S25" s="3"/>
      <c r="T25" s="93"/>
      <c r="U25" s="3"/>
    </row>
    <row r="26" spans="2:32" x14ac:dyDescent="0.3">
      <c r="B26" s="12">
        <f t="shared" si="10"/>
        <v>46057</v>
      </c>
      <c r="C26" s="6">
        <f t="shared" si="11"/>
        <v>13</v>
      </c>
      <c r="D26" s="6"/>
      <c r="E26" s="8"/>
      <c r="F26" s="6"/>
      <c r="G26" s="6"/>
      <c r="H26" s="8"/>
      <c r="I26" s="14"/>
      <c r="J26" s="3"/>
      <c r="K26" s="93"/>
      <c r="L26" s="3"/>
      <c r="M26" s="36" t="s">
        <v>37</v>
      </c>
      <c r="N26" s="6">
        <f>+P14/N25</f>
        <v>0</v>
      </c>
      <c r="P26" s="33" t="s">
        <v>45</v>
      </c>
      <c r="Q26" s="37" t="e">
        <f>+Q25/Q29</f>
        <v>#DIV/0!</v>
      </c>
      <c r="S26" s="3"/>
      <c r="T26" s="93"/>
      <c r="U26" s="3"/>
    </row>
    <row r="27" spans="2:32" x14ac:dyDescent="0.3">
      <c r="B27" s="15"/>
      <c r="C27" s="3"/>
      <c r="E27" s="3"/>
      <c r="I27" s="16"/>
      <c r="J27" s="3"/>
      <c r="K27" s="93"/>
      <c r="L27" s="3"/>
      <c r="M27" s="36" t="s">
        <v>38</v>
      </c>
      <c r="N27" s="34">
        <f>+P14</f>
        <v>0</v>
      </c>
      <c r="P27" s="33" t="s">
        <v>46</v>
      </c>
      <c r="Q27" s="37">
        <f>+Q21/Q25</f>
        <v>-0.3702695344405118</v>
      </c>
      <c r="S27" s="3"/>
      <c r="T27" s="93"/>
      <c r="U27" s="3"/>
    </row>
    <row r="28" spans="2:32" ht="15" thickBot="1" x14ac:dyDescent="0.35">
      <c r="B28" s="94" t="s">
        <v>20</v>
      </c>
      <c r="C28" s="95"/>
      <c r="D28" s="17">
        <f>SUM(D14:D27)</f>
        <v>68</v>
      </c>
      <c r="E28" s="18">
        <f>+AVERAGE(E14:E26)</f>
        <v>81532.5</v>
      </c>
      <c r="F28" s="19">
        <f>SUM(F14:F25)</f>
        <v>5655094.2000000002</v>
      </c>
      <c r="G28" s="17">
        <f>SUM(G14:G27)</f>
        <v>0</v>
      </c>
      <c r="H28" s="18" t="e">
        <f>+AVERAGE(H14:H26)</f>
        <v>#DIV/0!</v>
      </c>
      <c r="I28" s="20">
        <f>SUM(I14:I25)</f>
        <v>0</v>
      </c>
      <c r="J28" s="3"/>
      <c r="K28" s="93"/>
      <c r="L28" s="3"/>
      <c r="M28" s="30"/>
      <c r="N28" s="3"/>
      <c r="Q28" s="16"/>
      <c r="S28" s="3"/>
      <c r="T28" s="93"/>
      <c r="U28" s="3"/>
    </row>
    <row r="29" spans="2:32" x14ac:dyDescent="0.3">
      <c r="C29" s="3"/>
      <c r="D29" s="3"/>
      <c r="E29" s="3"/>
      <c r="F29" s="3"/>
      <c r="G29" s="3"/>
      <c r="H29" s="3"/>
      <c r="I29" s="3"/>
      <c r="J29" s="3"/>
      <c r="K29" s="93"/>
      <c r="L29" s="3"/>
      <c r="M29" s="15"/>
      <c r="P29" s="33" t="s">
        <v>41</v>
      </c>
      <c r="Q29" s="37" t="e">
        <f>+(IF(M7="",0,(M7-B7)*O7)+IF(M8="",0,(M8-B7)*O8)+IF(M9="",0,(M9-B7)*O9)+IF(M10="",0,(M10-B7)*O10)+IF(M11="",0,(M11-B7)*O11)+IF(M12="",0,(M12-B7)*O12))/O14</f>
        <v>#DIV/0!</v>
      </c>
      <c r="S29" s="3"/>
      <c r="T29" s="93"/>
      <c r="U29" s="3"/>
    </row>
    <row r="30" spans="2:32" ht="15" thickBot="1" x14ac:dyDescent="0.35">
      <c r="C30" s="3"/>
      <c r="D30" s="3"/>
      <c r="E30" s="3"/>
      <c r="F30" s="3"/>
      <c r="G30" s="3"/>
      <c r="H30" s="3"/>
      <c r="I30" s="3"/>
      <c r="J30" s="3"/>
      <c r="K30" s="93"/>
      <c r="L30" s="3"/>
      <c r="M30" s="15"/>
      <c r="P30" s="33" t="s">
        <v>42</v>
      </c>
      <c r="Q30" s="13">
        <f>+N20-N25</f>
        <v>0</v>
      </c>
      <c r="S30" s="3"/>
      <c r="T30" s="93"/>
      <c r="U30" s="3"/>
    </row>
    <row r="31" spans="2:32" ht="15" thickBot="1" x14ac:dyDescent="0.35">
      <c r="B31" s="96" t="s">
        <v>25</v>
      </c>
      <c r="C31" s="97"/>
      <c r="D31" s="97"/>
      <c r="E31" s="97"/>
      <c r="F31" s="97"/>
      <c r="G31" s="97"/>
      <c r="H31" s="97"/>
      <c r="I31" s="98"/>
      <c r="J31" s="3"/>
      <c r="K31" s="93"/>
      <c r="L31" s="3"/>
      <c r="M31" s="38"/>
      <c r="N31" s="39"/>
      <c r="O31" s="39"/>
      <c r="P31" s="40" t="s">
        <v>47</v>
      </c>
      <c r="Q31" s="41">
        <f>+Q30/N20</f>
        <v>0</v>
      </c>
      <c r="S31" s="3"/>
      <c r="T31" s="93"/>
      <c r="U31" s="3"/>
    </row>
    <row r="32" spans="2:32" ht="15" thickBot="1" x14ac:dyDescent="0.35">
      <c r="C32" s="3"/>
      <c r="D32" s="3"/>
      <c r="E32" s="3"/>
      <c r="F32" s="3"/>
      <c r="G32" s="3"/>
      <c r="H32" s="3"/>
      <c r="I32" s="3"/>
      <c r="J32" s="3"/>
      <c r="K32" s="93"/>
      <c r="L32" s="3"/>
      <c r="S32" s="3"/>
      <c r="T32" s="93"/>
      <c r="U32" s="3"/>
    </row>
    <row r="33" spans="2:21" x14ac:dyDescent="0.3">
      <c r="B33" s="102" t="s">
        <v>17</v>
      </c>
      <c r="C33" s="104" t="s">
        <v>18</v>
      </c>
      <c r="D33" s="83" t="s">
        <v>26</v>
      </c>
      <c r="E33" s="83"/>
      <c r="F33" s="83" t="s">
        <v>27</v>
      </c>
      <c r="G33" s="83" t="s">
        <v>28</v>
      </c>
      <c r="H33" s="104" t="s">
        <v>29</v>
      </c>
      <c r="I33" s="106" t="s">
        <v>25</v>
      </c>
      <c r="J33" s="3"/>
      <c r="K33" s="93"/>
      <c r="L33" s="3"/>
      <c r="S33" s="3"/>
      <c r="T33" s="93"/>
      <c r="U33" s="3"/>
    </row>
    <row r="34" spans="2:21" x14ac:dyDescent="0.3">
      <c r="B34" s="103"/>
      <c r="C34" s="105"/>
      <c r="D34" s="25" t="s">
        <v>14</v>
      </c>
      <c r="E34" s="25" t="s">
        <v>1</v>
      </c>
      <c r="F34" s="84"/>
      <c r="G34" s="84"/>
      <c r="H34" s="105"/>
      <c r="I34" s="107"/>
      <c r="J34" s="3"/>
      <c r="K34" s="93"/>
      <c r="L34" s="3"/>
      <c r="S34" s="3"/>
      <c r="T34" s="93"/>
      <c r="U34" s="3"/>
    </row>
    <row r="35" spans="2:21" x14ac:dyDescent="0.3">
      <c r="B35" s="12">
        <f t="shared" ref="B35:B47" si="12">+B14</f>
        <v>45973</v>
      </c>
      <c r="C35" s="6">
        <v>1</v>
      </c>
      <c r="D35" s="8">
        <f>850000+850000</f>
        <v>1700000</v>
      </c>
      <c r="E35" s="8">
        <f>+(680000/200)*(D14+G14)</f>
        <v>231200</v>
      </c>
      <c r="F35" s="8"/>
      <c r="G35" s="8"/>
      <c r="H35" s="8"/>
      <c r="I35" s="14"/>
      <c r="J35" s="3"/>
      <c r="K35" s="93"/>
      <c r="L35" s="3"/>
      <c r="S35" s="3"/>
      <c r="T35" s="93"/>
      <c r="U35" s="3"/>
    </row>
    <row r="36" spans="2:21" x14ac:dyDescent="0.3">
      <c r="B36" s="12">
        <f t="shared" si="12"/>
        <v>45980</v>
      </c>
      <c r="C36" s="6">
        <f>+C35+1</f>
        <v>2</v>
      </c>
      <c r="D36" s="8"/>
      <c r="E36" s="8">
        <f t="shared" ref="E36:E47" si="13">+(680000/200)*(D15+G15)</f>
        <v>0</v>
      </c>
      <c r="F36" s="8"/>
      <c r="G36" s="8"/>
      <c r="H36" s="8"/>
      <c r="I36" s="14"/>
      <c r="J36" s="3"/>
      <c r="K36" s="93"/>
      <c r="L36" s="3"/>
      <c r="S36" s="3"/>
      <c r="T36" s="93"/>
      <c r="U36" s="3"/>
    </row>
    <row r="37" spans="2:21" x14ac:dyDescent="0.3">
      <c r="B37" s="12">
        <f t="shared" si="12"/>
        <v>45987</v>
      </c>
      <c r="C37" s="6">
        <f t="shared" ref="C37:C47" si="14">+C36+1</f>
        <v>3</v>
      </c>
      <c r="D37" s="8"/>
      <c r="E37" s="8">
        <f t="shared" si="13"/>
        <v>0</v>
      </c>
      <c r="F37" s="8">
        <f>+((3500000*(18/30))/3)</f>
        <v>700000</v>
      </c>
      <c r="G37" s="8"/>
      <c r="H37" s="8"/>
      <c r="I37" s="14"/>
      <c r="J37" s="3"/>
      <c r="K37" s="93"/>
      <c r="L37" s="3"/>
      <c r="S37" s="3"/>
      <c r="T37" s="93"/>
      <c r="U37" s="3"/>
    </row>
    <row r="38" spans="2:21" x14ac:dyDescent="0.3">
      <c r="B38" s="12">
        <f t="shared" si="12"/>
        <v>45994</v>
      </c>
      <c r="C38" s="6">
        <f t="shared" si="14"/>
        <v>4</v>
      </c>
      <c r="D38" s="8"/>
      <c r="E38" s="8">
        <f t="shared" si="13"/>
        <v>0</v>
      </c>
      <c r="F38" s="8"/>
      <c r="G38" s="8"/>
      <c r="H38" s="8"/>
      <c r="I38" s="14"/>
      <c r="J38" s="3"/>
      <c r="K38" s="93"/>
      <c r="M38" s="3"/>
      <c r="S38" s="3"/>
      <c r="T38" s="93"/>
    </row>
    <row r="39" spans="2:21" x14ac:dyDescent="0.3">
      <c r="B39" s="12">
        <f t="shared" si="12"/>
        <v>46001</v>
      </c>
      <c r="C39" s="6">
        <f t="shared" si="14"/>
        <v>5</v>
      </c>
      <c r="D39" s="8"/>
      <c r="E39" s="8">
        <f t="shared" si="13"/>
        <v>0</v>
      </c>
      <c r="F39" s="8"/>
      <c r="G39" s="8"/>
      <c r="H39" s="8"/>
      <c r="I39" s="14"/>
      <c r="J39" s="3"/>
      <c r="K39" s="93"/>
      <c r="L39" s="3"/>
      <c r="M39" s="3"/>
      <c r="S39" s="3"/>
      <c r="T39" s="93"/>
      <c r="U39" s="3"/>
    </row>
    <row r="40" spans="2:21" x14ac:dyDescent="0.3">
      <c r="B40" s="12">
        <f t="shared" si="12"/>
        <v>46008</v>
      </c>
      <c r="C40" s="6">
        <f t="shared" si="14"/>
        <v>6</v>
      </c>
      <c r="D40" s="8"/>
      <c r="E40" s="8">
        <f t="shared" si="13"/>
        <v>0</v>
      </c>
      <c r="F40" s="8"/>
      <c r="G40" s="8"/>
      <c r="H40" s="8"/>
      <c r="I40" s="14"/>
      <c r="J40" s="3"/>
      <c r="K40" s="93"/>
      <c r="L40" s="3"/>
      <c r="M40" s="3"/>
      <c r="S40" s="3"/>
      <c r="T40" s="93"/>
      <c r="U40" s="3"/>
    </row>
    <row r="41" spans="2:21" x14ac:dyDescent="0.3">
      <c r="B41" s="12">
        <f t="shared" si="12"/>
        <v>46015</v>
      </c>
      <c r="C41" s="6">
        <f t="shared" si="14"/>
        <v>7</v>
      </c>
      <c r="D41" s="8"/>
      <c r="E41" s="8">
        <f t="shared" si="13"/>
        <v>0</v>
      </c>
      <c r="F41" s="8"/>
      <c r="G41" s="8"/>
      <c r="H41" s="8"/>
      <c r="I41" s="14"/>
      <c r="J41" s="3"/>
      <c r="K41" s="93"/>
      <c r="L41" s="3"/>
      <c r="M41" s="3"/>
      <c r="S41" s="3"/>
      <c r="T41" s="93"/>
      <c r="U41" s="3"/>
    </row>
    <row r="42" spans="2:21" x14ac:dyDescent="0.3">
      <c r="B42" s="12">
        <f t="shared" si="12"/>
        <v>46022</v>
      </c>
      <c r="C42" s="6">
        <f t="shared" si="14"/>
        <v>8</v>
      </c>
      <c r="D42" s="8"/>
      <c r="E42" s="8">
        <f t="shared" si="13"/>
        <v>0</v>
      </c>
      <c r="F42" s="8"/>
      <c r="G42" s="8"/>
      <c r="H42" s="8"/>
      <c r="I42" s="14"/>
      <c r="J42" s="3"/>
      <c r="K42" s="93"/>
      <c r="L42" s="3"/>
      <c r="M42" s="3"/>
      <c r="S42" s="3"/>
      <c r="T42" s="93"/>
      <c r="U42" s="3"/>
    </row>
    <row r="43" spans="2:21" x14ac:dyDescent="0.3">
      <c r="B43" s="12">
        <f t="shared" si="12"/>
        <v>46029</v>
      </c>
      <c r="C43" s="6">
        <f t="shared" si="14"/>
        <v>9</v>
      </c>
      <c r="D43" s="8"/>
      <c r="E43" s="8">
        <f t="shared" si="13"/>
        <v>0</v>
      </c>
      <c r="F43" s="8"/>
      <c r="G43" s="8"/>
      <c r="H43" s="8"/>
      <c r="I43" s="14"/>
      <c r="J43" s="3"/>
      <c r="K43" s="93"/>
      <c r="L43" s="3"/>
      <c r="M43" s="3"/>
      <c r="S43" s="3"/>
      <c r="T43" s="93"/>
      <c r="U43" s="3"/>
    </row>
    <row r="44" spans="2:21" x14ac:dyDescent="0.3">
      <c r="B44" s="12">
        <f t="shared" si="12"/>
        <v>46036</v>
      </c>
      <c r="C44" s="6">
        <f t="shared" si="14"/>
        <v>10</v>
      </c>
      <c r="D44" s="8"/>
      <c r="E44" s="8">
        <f t="shared" si="13"/>
        <v>0</v>
      </c>
      <c r="F44" s="8"/>
      <c r="G44" s="8"/>
      <c r="H44" s="8"/>
      <c r="I44" s="14"/>
      <c r="J44" s="3"/>
      <c r="K44" s="93"/>
      <c r="L44" s="3"/>
      <c r="M44" s="3"/>
      <c r="S44" s="3"/>
      <c r="T44" s="93"/>
      <c r="U44" s="3"/>
    </row>
    <row r="45" spans="2:21" x14ac:dyDescent="0.3">
      <c r="B45" s="12">
        <f t="shared" si="12"/>
        <v>46043</v>
      </c>
      <c r="C45" s="6">
        <f t="shared" si="14"/>
        <v>11</v>
      </c>
      <c r="D45" s="8"/>
      <c r="E45" s="8">
        <f t="shared" si="13"/>
        <v>0</v>
      </c>
      <c r="F45" s="8"/>
      <c r="G45" s="8"/>
      <c r="H45" s="8"/>
      <c r="I45" s="14"/>
      <c r="J45" s="3"/>
      <c r="K45" s="93"/>
      <c r="L45" s="3"/>
      <c r="M45" s="3"/>
      <c r="S45" s="3"/>
      <c r="T45" s="93"/>
      <c r="U45" s="3"/>
    </row>
    <row r="46" spans="2:21" x14ac:dyDescent="0.3">
      <c r="B46" s="12">
        <f t="shared" si="12"/>
        <v>46050</v>
      </c>
      <c r="C46" s="6">
        <f t="shared" si="14"/>
        <v>12</v>
      </c>
      <c r="D46" s="8"/>
      <c r="E46" s="8">
        <f t="shared" si="13"/>
        <v>0</v>
      </c>
      <c r="F46" s="8"/>
      <c r="G46" s="8"/>
      <c r="H46" s="8"/>
      <c r="I46" s="14"/>
      <c r="J46" s="3"/>
      <c r="K46" s="93"/>
      <c r="L46" s="3"/>
      <c r="M46" s="3"/>
      <c r="S46" s="3"/>
      <c r="T46" s="93"/>
      <c r="U46" s="3"/>
    </row>
    <row r="47" spans="2:21" x14ac:dyDescent="0.3">
      <c r="B47" s="12">
        <f t="shared" si="12"/>
        <v>46057</v>
      </c>
      <c r="C47" s="6">
        <f t="shared" si="14"/>
        <v>13</v>
      </c>
      <c r="D47" s="8"/>
      <c r="E47" s="8">
        <f t="shared" si="13"/>
        <v>0</v>
      </c>
      <c r="F47" s="8"/>
      <c r="G47" s="8"/>
      <c r="H47" s="8"/>
      <c r="I47" s="14"/>
      <c r="J47" s="3"/>
      <c r="K47" s="93"/>
      <c r="L47" s="3"/>
      <c r="M47" s="3"/>
      <c r="S47" s="3"/>
      <c r="T47" s="93"/>
      <c r="U47" s="3"/>
    </row>
    <row r="48" spans="2:21" x14ac:dyDescent="0.3">
      <c r="B48" s="15"/>
      <c r="C48" s="3"/>
      <c r="D48" s="3"/>
      <c r="E48" s="3"/>
      <c r="F48" s="3"/>
      <c r="G48" s="3"/>
      <c r="H48" s="3"/>
      <c r="I48" s="26"/>
      <c r="J48" s="3"/>
      <c r="K48" s="93"/>
      <c r="L48" s="3"/>
      <c r="M48" s="3"/>
      <c r="S48" s="3"/>
      <c r="T48" s="93"/>
      <c r="U48" s="3"/>
    </row>
    <row r="49" spans="2:21" ht="15" thickBot="1" x14ac:dyDescent="0.35">
      <c r="B49" s="94" t="s">
        <v>20</v>
      </c>
      <c r="C49" s="95"/>
      <c r="D49" s="19">
        <f>SUM(D35:D47)</f>
        <v>1700000</v>
      </c>
      <c r="E49" s="19">
        <f t="shared" ref="E49:I49" si="15">SUM(E35:E47)</f>
        <v>231200</v>
      </c>
      <c r="F49" s="19">
        <f t="shared" si="15"/>
        <v>700000</v>
      </c>
      <c r="G49" s="19">
        <f t="shared" si="15"/>
        <v>0</v>
      </c>
      <c r="H49" s="19">
        <f t="shared" si="15"/>
        <v>0</v>
      </c>
      <c r="I49" s="20">
        <f t="shared" si="15"/>
        <v>0</v>
      </c>
      <c r="J49" s="3"/>
      <c r="K49" s="93"/>
      <c r="L49" s="3"/>
      <c r="M49" s="3"/>
      <c r="S49" s="3"/>
      <c r="T49" s="93"/>
      <c r="U49" s="3"/>
    </row>
    <row r="50" spans="2:21" x14ac:dyDescent="0.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S50" s="3"/>
      <c r="T50" s="3"/>
      <c r="U50" s="3"/>
    </row>
    <row r="51" spans="2:21" x14ac:dyDescent="0.3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S51" s="3"/>
      <c r="T51" s="3"/>
      <c r="U51" s="3"/>
    </row>
    <row r="52" spans="2:21" x14ac:dyDescent="0.3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S52" s="3"/>
      <c r="T52" s="3"/>
      <c r="U52" s="3"/>
    </row>
    <row r="53" spans="2:21" x14ac:dyDescent="0.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S53" s="3"/>
      <c r="T53" s="3"/>
      <c r="U53" s="3"/>
    </row>
    <row r="54" spans="2:2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S54" s="3"/>
      <c r="T54" s="3"/>
      <c r="U54" s="3"/>
    </row>
    <row r="55" spans="2:21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S55" s="3"/>
      <c r="T55" s="3"/>
      <c r="U55" s="3"/>
    </row>
    <row r="56" spans="2:21" x14ac:dyDescent="0.3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S56" s="3"/>
      <c r="T56" s="3"/>
      <c r="U56" s="3"/>
    </row>
    <row r="57" spans="2:21" x14ac:dyDescent="0.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S57" s="3"/>
      <c r="T57" s="3"/>
      <c r="U57" s="3"/>
    </row>
    <row r="58" spans="2:21" x14ac:dyDescent="0.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S58" s="3"/>
      <c r="T58" s="3"/>
      <c r="U58" s="3"/>
    </row>
    <row r="59" spans="2:21" x14ac:dyDescent="0.3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S59" s="3"/>
      <c r="T59" s="3"/>
      <c r="U59" s="3"/>
    </row>
    <row r="60" spans="2:21" x14ac:dyDescent="0.3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S60" s="3"/>
      <c r="T60" s="3"/>
      <c r="U60" s="3"/>
    </row>
    <row r="61" spans="2:21" x14ac:dyDescent="0.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S61" s="3"/>
      <c r="T61" s="3"/>
      <c r="U61" s="3"/>
    </row>
    <row r="62" spans="2:21" x14ac:dyDescent="0.3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S62" s="3"/>
      <c r="T62" s="3"/>
      <c r="U62" s="3"/>
    </row>
  </sheetData>
  <mergeCells count="38">
    <mergeCell ref="B1:I2"/>
    <mergeCell ref="K1:K49"/>
    <mergeCell ref="M1:R2"/>
    <mergeCell ref="T1:T49"/>
    <mergeCell ref="V1:AF2"/>
    <mergeCell ref="B4:I4"/>
    <mergeCell ref="M4:R4"/>
    <mergeCell ref="V4:Z4"/>
    <mergeCell ref="AB4:AF4"/>
    <mergeCell ref="AB6:AC6"/>
    <mergeCell ref="V19:Z19"/>
    <mergeCell ref="AB19:AF19"/>
    <mergeCell ref="AE6:AF6"/>
    <mergeCell ref="B10:I10"/>
    <mergeCell ref="B12:B13"/>
    <mergeCell ref="C12:C13"/>
    <mergeCell ref="D12:F12"/>
    <mergeCell ref="G12:I12"/>
    <mergeCell ref="M24:N24"/>
    <mergeCell ref="M14:N14"/>
    <mergeCell ref="M17:Q17"/>
    <mergeCell ref="M19:N19"/>
    <mergeCell ref="P19:Q19"/>
    <mergeCell ref="AB21:AC21"/>
    <mergeCell ref="AE21:AF21"/>
    <mergeCell ref="AB22:AC23"/>
    <mergeCell ref="AE22:AF23"/>
    <mergeCell ref="P23:Q23"/>
    <mergeCell ref="B49:C49"/>
    <mergeCell ref="B28:C28"/>
    <mergeCell ref="B31:I31"/>
    <mergeCell ref="B33:B34"/>
    <mergeCell ref="C33:C34"/>
    <mergeCell ref="D33:E33"/>
    <mergeCell ref="F33:F34"/>
    <mergeCell ref="G33:G34"/>
    <mergeCell ref="H33:H34"/>
    <mergeCell ref="I33:I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Lote 1</vt:lpstr>
      <vt:lpstr>Lote 2</vt:lpstr>
      <vt:lpstr>Lote 3</vt:lpstr>
      <vt:lpstr>'Lote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Restrepo Hincapié</dc:creator>
  <cp:lastModifiedBy>David Restrepo Hincapié</cp:lastModifiedBy>
  <cp:lastPrinted>2025-11-20T22:32:46Z</cp:lastPrinted>
  <dcterms:created xsi:type="dcterms:W3CDTF">2025-11-19T22:22:10Z</dcterms:created>
  <dcterms:modified xsi:type="dcterms:W3CDTF">2025-11-20T23:32:44Z</dcterms:modified>
</cp:coreProperties>
</file>